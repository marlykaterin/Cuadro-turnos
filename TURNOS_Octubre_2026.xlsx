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TUBRE" sheetId="1" state="visible" r:id="rId1"/>
    <sheet name="AUX Serv Grles" sheetId="2" state="visible" r:id="rId2"/>
    <sheet name="Oferta O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FFDEEAF1"/>
      </patternFill>
    </fill>
    <fill>
      <patternFill patternType="solid">
        <fgColor rgb="FFF2F2F2"/>
      </patternFill>
    </fill>
    <fill>
      <patternFill patternType="solid">
        <fgColor rgb="FFFCE4D6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general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general"/>
    </xf>
    <xf numFmtId="0" fontId="1" fillId="0" borderId="0" pivotButton="0" quotePrefix="0" xfId="0"/>
    <xf numFmtId="0" fontId="2" fillId="0" borderId="0" pivotButton="0" quotePrefix="0" xfId="0"/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Coordinación</author>
  </authors>
  <commentList>
    <comment ref="C13" authorId="0" shapeId="0">
      <text>
        <t>Horario oct-2026: L-V 7:00-15:36 (1 h almuerzo, 7 h 36 min efectivas); Sáb 8:00-12:00 (4 h).</t>
      </text>
    </comment>
    <comment ref="B44" authorId="0" shapeId="0">
      <text>
        <t>Actualizado: 5 días x 7,6 h = 38 h L-V + 4 h sábado = 42 h/semana (nuevo horario jefe Marly).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.4" customWidth="1" min="1" max="1"/>
    <col width="18.1" customWidth="1" min="2" max="2"/>
    <col width="13.4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</cols>
  <sheetData>
    <row r="1" ht="15" customHeight="1">
      <c r="A1" s="1" t="inlineStr">
        <is>
          <t>Nombre</t>
        </is>
      </c>
      <c r="B1" s="1" t="inlineStr">
        <is>
          <t>Cargo</t>
        </is>
      </c>
      <c r="C1" s="1" t="inlineStr">
        <is>
          <t>Hora Almuerzo</t>
        </is>
      </c>
      <c r="D1" s="1" t="inlineStr">
        <is>
          <t xml:space="preserve"> Jue 01 </t>
        </is>
      </c>
      <c r="E1" s="1" t="inlineStr">
        <is>
          <t xml:space="preserve"> Vie 02 </t>
        </is>
      </c>
      <c r="F1" s="2" t="inlineStr">
        <is>
          <t xml:space="preserve"> Sáb 03 </t>
        </is>
      </c>
      <c r="G1" s="2" t="inlineStr">
        <is>
          <t xml:space="preserve"> Dom 04 </t>
        </is>
      </c>
      <c r="H1" s="1" t="inlineStr">
        <is>
          <t xml:space="preserve"> Lun 05 </t>
        </is>
      </c>
      <c r="I1" s="1" t="inlineStr">
        <is>
          <t xml:space="preserve"> Mar 06 </t>
        </is>
      </c>
      <c r="J1" s="1" t="inlineStr">
        <is>
          <t xml:space="preserve"> Mié 07 </t>
        </is>
      </c>
      <c r="K1" s="1" t="inlineStr">
        <is>
          <t xml:space="preserve"> Jue 08 </t>
        </is>
      </c>
      <c r="L1" s="1" t="inlineStr">
        <is>
          <t xml:space="preserve"> Vie 09 </t>
        </is>
      </c>
      <c r="M1" s="2" t="inlineStr">
        <is>
          <t xml:space="preserve"> Sáb 10 </t>
        </is>
      </c>
      <c r="N1" s="2" t="inlineStr">
        <is>
          <t xml:space="preserve"> Dom 11 </t>
        </is>
      </c>
      <c r="O1" s="3" t="inlineStr">
        <is>
          <t xml:space="preserve"> Lun 12 </t>
        </is>
      </c>
      <c r="P1" s="1" t="inlineStr">
        <is>
          <t xml:space="preserve"> Mar 13 </t>
        </is>
      </c>
      <c r="Q1" s="1" t="inlineStr">
        <is>
          <t xml:space="preserve"> Mié 14 </t>
        </is>
      </c>
      <c r="R1" s="1" t="inlineStr">
        <is>
          <t xml:space="preserve"> Jue 15 </t>
        </is>
      </c>
      <c r="S1" s="1" t="inlineStr">
        <is>
          <t xml:space="preserve"> Vie 16 </t>
        </is>
      </c>
      <c r="T1" s="2" t="inlineStr">
        <is>
          <t xml:space="preserve"> Sáb 17 </t>
        </is>
      </c>
      <c r="U1" s="2" t="inlineStr">
        <is>
          <t xml:space="preserve"> Dom 18 </t>
        </is>
      </c>
      <c r="V1" s="1" t="inlineStr">
        <is>
          <t xml:space="preserve"> Lun 19 </t>
        </is>
      </c>
      <c r="W1" s="1" t="inlineStr">
        <is>
          <t xml:space="preserve"> Mar 20 </t>
        </is>
      </c>
      <c r="X1" s="1" t="inlineStr">
        <is>
          <t xml:space="preserve"> Mié 21 </t>
        </is>
      </c>
      <c r="Y1" s="1" t="inlineStr">
        <is>
          <t xml:space="preserve"> Jue 22 </t>
        </is>
      </c>
      <c r="Z1" s="1" t="inlineStr">
        <is>
          <t xml:space="preserve"> Vie 23 </t>
        </is>
      </c>
      <c r="AA1" s="2" t="inlineStr">
        <is>
          <t xml:space="preserve"> Sáb 24 </t>
        </is>
      </c>
      <c r="AB1" s="2" t="inlineStr">
        <is>
          <t xml:space="preserve"> Dom 25 </t>
        </is>
      </c>
      <c r="AC1" s="1" t="inlineStr">
        <is>
          <t xml:space="preserve"> Lun 26 </t>
        </is>
      </c>
      <c r="AD1" s="1" t="inlineStr">
        <is>
          <t xml:space="preserve"> Mar 27 </t>
        </is>
      </c>
      <c r="AE1" s="1" t="inlineStr">
        <is>
          <t xml:space="preserve"> Mié 28 </t>
        </is>
      </c>
      <c r="AF1" s="1" t="inlineStr">
        <is>
          <t xml:space="preserve"> Jue 29 </t>
        </is>
      </c>
      <c r="AG1" s="1" t="inlineStr">
        <is>
          <t xml:space="preserve"> Vie 30 </t>
        </is>
      </c>
      <c r="AH1" s="2" t="inlineStr">
        <is>
          <t xml:space="preserve"> Sáb 31 </t>
        </is>
      </c>
      <c r="AI1" s="1" t="inlineStr">
        <is>
          <t>Total Horas</t>
        </is>
      </c>
    </row>
    <row r="2" ht="15" customHeight="1">
      <c r="A2" s="4" t="inlineStr">
        <is>
          <t>Daniel Cortes</t>
        </is>
      </c>
      <c r="B2" s="5" t="inlineStr">
        <is>
          <t>Medico Experto</t>
        </is>
      </c>
      <c r="C2" s="5" t="inlineStr">
        <is>
          <t>13:00-14:00</t>
        </is>
      </c>
      <c r="D2" s="5" t="inlineStr">
        <is>
          <t>7:30-16:30</t>
        </is>
      </c>
      <c r="E2" s="5" t="inlineStr">
        <is>
          <t>8:00-17:00</t>
        </is>
      </c>
      <c r="F2" s="6" t="n"/>
      <c r="G2" s="6" t="n"/>
      <c r="H2" s="5" t="inlineStr">
        <is>
          <t>7:30-16:30</t>
        </is>
      </c>
      <c r="I2" s="5" t="inlineStr">
        <is>
          <t>7:30-16:30</t>
        </is>
      </c>
      <c r="J2" s="5" t="inlineStr">
        <is>
          <t>7:30-16:30</t>
        </is>
      </c>
      <c r="K2" s="5" t="inlineStr">
        <is>
          <t>7:30-16:30</t>
        </is>
      </c>
      <c r="L2" s="5" t="inlineStr">
        <is>
          <t>8:00-17:00</t>
        </is>
      </c>
      <c r="M2" s="5" t="inlineStr">
        <is>
          <t>7:00-11:00</t>
        </is>
      </c>
      <c r="N2" s="6" t="n"/>
      <c r="O2" s="7" t="inlineStr">
        <is>
          <t>FESTIVO</t>
        </is>
      </c>
      <c r="P2" s="5" t="inlineStr">
        <is>
          <t>7:30-16:30</t>
        </is>
      </c>
      <c r="Q2" s="5" t="inlineStr">
        <is>
          <t>7:30-16:30</t>
        </is>
      </c>
      <c r="R2" s="5" t="inlineStr">
        <is>
          <t>7:30-16:30</t>
        </is>
      </c>
      <c r="S2" s="5" t="inlineStr">
        <is>
          <t>8:00-17:00</t>
        </is>
      </c>
      <c r="T2" s="6" t="n"/>
      <c r="U2" s="6" t="n"/>
      <c r="V2" s="5" t="inlineStr">
        <is>
          <t>7:30-16:30</t>
        </is>
      </c>
      <c r="W2" s="5" t="inlineStr">
        <is>
          <t>7:30-16:30</t>
        </is>
      </c>
      <c r="X2" s="5" t="inlineStr">
        <is>
          <t>7:30-16:30</t>
        </is>
      </c>
      <c r="Y2" s="5" t="inlineStr">
        <is>
          <t>7:30-16:30</t>
        </is>
      </c>
      <c r="Z2" s="5" t="inlineStr">
        <is>
          <t>8:00-17:00</t>
        </is>
      </c>
      <c r="AA2" s="5" t="inlineStr">
        <is>
          <t>7:00-11:00</t>
        </is>
      </c>
      <c r="AB2" s="6" t="n"/>
      <c r="AC2" s="5" t="inlineStr">
        <is>
          <t>7:30-16:30</t>
        </is>
      </c>
      <c r="AD2" s="5" t="inlineStr">
        <is>
          <t>7:30-16:30</t>
        </is>
      </c>
      <c r="AE2" s="5" t="inlineStr">
        <is>
          <t>7:30-16:30</t>
        </is>
      </c>
      <c r="AF2" s="5" t="inlineStr">
        <is>
          <t>7:30-16:30</t>
        </is>
      </c>
      <c r="AG2" s="5" t="inlineStr">
        <is>
          <t>8:00-17:00</t>
        </is>
      </c>
      <c r="AH2" s="6" t="n"/>
      <c r="AI2" s="5">
        <f>AN18</f>
        <v/>
      </c>
    </row>
    <row r="3" ht="15" customHeight="1">
      <c r="A3" s="4" t="inlineStr">
        <is>
          <t>Cristhian caicedo</t>
        </is>
      </c>
      <c r="B3" s="5" t="inlineStr">
        <is>
          <t>Medico Experto</t>
        </is>
      </c>
      <c r="C3" s="5" t="inlineStr">
        <is>
          <t>N/A</t>
        </is>
      </c>
      <c r="D3" s="5" t="inlineStr">
        <is>
          <t>7:30-11:30</t>
        </is>
      </c>
      <c r="E3" s="5" t="inlineStr">
        <is>
          <t>7:30-11:30</t>
        </is>
      </c>
      <c r="F3" s="6" t="n"/>
      <c r="G3" s="6" t="n"/>
      <c r="H3" s="5" t="inlineStr">
        <is>
          <t>7:30-11:30</t>
        </is>
      </c>
      <c r="I3" s="5" t="inlineStr">
        <is>
          <t>7:30-11:30</t>
        </is>
      </c>
      <c r="J3" s="5" t="inlineStr">
        <is>
          <t>7:30-11:30</t>
        </is>
      </c>
      <c r="K3" s="5" t="inlineStr">
        <is>
          <t>7:30-11:30</t>
        </is>
      </c>
      <c r="L3" s="5" t="inlineStr">
        <is>
          <t>7:30-11:30</t>
        </is>
      </c>
      <c r="M3" s="6" t="n"/>
      <c r="N3" s="6" t="n"/>
      <c r="O3" s="7" t="inlineStr">
        <is>
          <t>FESTIVO</t>
        </is>
      </c>
      <c r="P3" s="5" t="inlineStr">
        <is>
          <t>7:30-11:30</t>
        </is>
      </c>
      <c r="Q3" s="5" t="inlineStr">
        <is>
          <t>7:30-11:30</t>
        </is>
      </c>
      <c r="R3" s="5" t="inlineStr">
        <is>
          <t>7:30-11:30</t>
        </is>
      </c>
      <c r="S3" s="5" t="inlineStr">
        <is>
          <t>7:30-11:30</t>
        </is>
      </c>
      <c r="T3" s="6" t="n"/>
      <c r="U3" s="6" t="n"/>
      <c r="V3" s="5" t="inlineStr">
        <is>
          <t>7:30-11:30</t>
        </is>
      </c>
      <c r="W3" s="5" t="inlineStr">
        <is>
          <t>7:30-11:30</t>
        </is>
      </c>
      <c r="X3" s="5" t="inlineStr">
        <is>
          <t>7:30-11:30</t>
        </is>
      </c>
      <c r="Y3" s="5" t="inlineStr">
        <is>
          <t>7:30-11:30</t>
        </is>
      </c>
      <c r="Z3" s="5" t="inlineStr">
        <is>
          <t>7:30-11:30</t>
        </is>
      </c>
      <c r="AA3" s="6" t="n"/>
      <c r="AB3" s="6" t="n"/>
      <c r="AC3" s="5" t="inlineStr">
        <is>
          <t>7:30-11:30</t>
        </is>
      </c>
      <c r="AD3" s="5" t="inlineStr">
        <is>
          <t>7:30-11:30</t>
        </is>
      </c>
      <c r="AE3" s="5" t="inlineStr">
        <is>
          <t>7:30-11:30</t>
        </is>
      </c>
      <c r="AF3" s="5" t="inlineStr">
        <is>
          <t>7:30-11:30</t>
        </is>
      </c>
      <c r="AG3" s="5" t="inlineStr">
        <is>
          <t>7:30-11:30</t>
        </is>
      </c>
      <c r="AH3" s="6" t="n"/>
      <c r="AI3" s="5">
        <f>AN19</f>
        <v/>
      </c>
    </row>
    <row r="4" ht="15" customHeight="1">
      <c r="A4" s="4" t="inlineStr">
        <is>
          <t>Maria Fernanda porras</t>
        </is>
      </c>
      <c r="B4" s="5" t="inlineStr">
        <is>
          <t>Medico Experto</t>
        </is>
      </c>
      <c r="C4" s="5" t="inlineStr">
        <is>
          <t>13:00-14:00</t>
        </is>
      </c>
      <c r="D4" s="5" t="inlineStr">
        <is>
          <t>7:00-16:00</t>
        </is>
      </c>
      <c r="E4" s="5" t="inlineStr">
        <is>
          <t>7:00-16:30</t>
        </is>
      </c>
      <c r="F4" s="6" t="n"/>
      <c r="G4" s="6" t="n"/>
      <c r="H4" s="5" t="inlineStr">
        <is>
          <t>7:00-16:00</t>
        </is>
      </c>
      <c r="I4" s="5" t="inlineStr">
        <is>
          <t>7:00-16:00</t>
        </is>
      </c>
      <c r="J4" s="5" t="inlineStr">
        <is>
          <t>7:00-16:00</t>
        </is>
      </c>
      <c r="K4" s="5" t="inlineStr">
        <is>
          <t>7:00-16:00</t>
        </is>
      </c>
      <c r="L4" s="5" t="inlineStr">
        <is>
          <t>7:00-16:30</t>
        </is>
      </c>
      <c r="M4" s="6" t="n"/>
      <c r="N4" s="6" t="n"/>
      <c r="O4" s="7" t="inlineStr">
        <is>
          <t>FESTIVO</t>
        </is>
      </c>
      <c r="P4" s="5" t="inlineStr">
        <is>
          <t>7:00-16:00</t>
        </is>
      </c>
      <c r="Q4" s="5" t="inlineStr">
        <is>
          <t>7:00-16:00</t>
        </is>
      </c>
      <c r="R4" s="5" t="inlineStr">
        <is>
          <t>7:00-16:00</t>
        </is>
      </c>
      <c r="S4" s="5" t="inlineStr">
        <is>
          <t>7:00-16:30</t>
        </is>
      </c>
      <c r="T4" s="5" t="inlineStr">
        <is>
          <t>7:00-11:00</t>
        </is>
      </c>
      <c r="U4" s="6" t="n"/>
      <c r="V4" s="5" t="inlineStr">
        <is>
          <t>7:00-16:00</t>
        </is>
      </c>
      <c r="W4" s="5" t="inlineStr">
        <is>
          <t>7:00-16:00</t>
        </is>
      </c>
      <c r="X4" s="5" t="inlineStr">
        <is>
          <t>7:00-16:00</t>
        </is>
      </c>
      <c r="Y4" s="5" t="inlineStr">
        <is>
          <t>7:00-16:00</t>
        </is>
      </c>
      <c r="Z4" s="5" t="inlineStr">
        <is>
          <t>7:00-16:30</t>
        </is>
      </c>
      <c r="AA4" s="6" t="n"/>
      <c r="AB4" s="6" t="n"/>
      <c r="AC4" s="5" t="inlineStr">
        <is>
          <t>7:00-16:00</t>
        </is>
      </c>
      <c r="AD4" s="5" t="inlineStr">
        <is>
          <t>7:00-16:00</t>
        </is>
      </c>
      <c r="AE4" s="5" t="inlineStr">
        <is>
          <t>7:00-16:00</t>
        </is>
      </c>
      <c r="AF4" s="5" t="inlineStr">
        <is>
          <t>7:00-16:00</t>
        </is>
      </c>
      <c r="AG4" s="5" t="inlineStr">
        <is>
          <t>7:00-16:30</t>
        </is>
      </c>
      <c r="AH4" s="5" t="inlineStr">
        <is>
          <t>7:00-11:00</t>
        </is>
      </c>
      <c r="AI4" s="5">
        <f>AN20</f>
        <v/>
      </c>
    </row>
    <row r="5" ht="15" customHeight="1">
      <c r="A5" s="4" t="inlineStr">
        <is>
          <t>Kiria pineda mendez</t>
        </is>
      </c>
      <c r="B5" s="5" t="inlineStr">
        <is>
          <t>Aux enfermeria</t>
        </is>
      </c>
      <c r="C5" s="5" t="inlineStr">
        <is>
          <t>12:00-13:00</t>
        </is>
      </c>
      <c r="D5" s="5" t="inlineStr">
        <is>
          <t>7:00-16:00</t>
        </is>
      </c>
      <c r="E5" s="5" t="inlineStr">
        <is>
          <t>9:00-18:00</t>
        </is>
      </c>
      <c r="F5" s="6" t="n"/>
      <c r="G5" s="6" t="n"/>
      <c r="H5" s="5" t="inlineStr">
        <is>
          <t>10:00-18:00</t>
        </is>
      </c>
      <c r="I5" s="5" t="inlineStr">
        <is>
          <t>7:00-16:00</t>
        </is>
      </c>
      <c r="J5" s="5" t="inlineStr">
        <is>
          <t>9:00-18:00</t>
        </is>
      </c>
      <c r="K5" s="5" t="inlineStr">
        <is>
          <t>7:00-16:00</t>
        </is>
      </c>
      <c r="L5" s="5" t="inlineStr">
        <is>
          <t>9:00-18:00</t>
        </is>
      </c>
      <c r="M5" s="5" t="inlineStr">
        <is>
          <t>7:00-13:00</t>
        </is>
      </c>
      <c r="N5" s="6" t="n"/>
      <c r="O5" s="7" t="inlineStr">
        <is>
          <t>FESTIVO</t>
        </is>
      </c>
      <c r="P5" s="5" t="inlineStr">
        <is>
          <t>7:00-16:00</t>
        </is>
      </c>
      <c r="Q5" s="5" t="inlineStr">
        <is>
          <t>9:00-18:00</t>
        </is>
      </c>
      <c r="R5" s="5" t="inlineStr">
        <is>
          <t>7:00-16:00</t>
        </is>
      </c>
      <c r="S5" s="5" t="inlineStr">
        <is>
          <t>9:00-18:00</t>
        </is>
      </c>
      <c r="T5" s="6" t="n"/>
      <c r="U5" s="6" t="n"/>
      <c r="V5" s="5" t="inlineStr">
        <is>
          <t>10:00-18:00</t>
        </is>
      </c>
      <c r="W5" s="5" t="inlineStr">
        <is>
          <t>7:00-16:00</t>
        </is>
      </c>
      <c r="X5" s="5" t="inlineStr">
        <is>
          <t>9:00-18:00</t>
        </is>
      </c>
      <c r="Y5" s="5" t="inlineStr">
        <is>
          <t>7:00-16:00</t>
        </is>
      </c>
      <c r="Z5" s="5" t="inlineStr">
        <is>
          <t>9:00-18:00</t>
        </is>
      </c>
      <c r="AA5" s="5" t="inlineStr">
        <is>
          <t>7:00-13:00</t>
        </is>
      </c>
      <c r="AB5" s="6" t="n"/>
      <c r="AC5" s="5" t="inlineStr">
        <is>
          <t>10:00-18:00</t>
        </is>
      </c>
      <c r="AD5" s="5" t="inlineStr">
        <is>
          <t>7:00-16:00</t>
        </is>
      </c>
      <c r="AE5" s="5" t="inlineStr">
        <is>
          <t>9:00-18:00</t>
        </is>
      </c>
      <c r="AF5" s="5" t="inlineStr">
        <is>
          <t>7:00-16:00</t>
        </is>
      </c>
      <c r="AG5" s="5" t="inlineStr">
        <is>
          <t>9:00-18:00</t>
        </is>
      </c>
      <c r="AH5" s="6" t="n"/>
      <c r="AI5" s="5">
        <f>AN21</f>
        <v/>
      </c>
    </row>
    <row r="6" ht="15" customHeight="1">
      <c r="A6" s="4" t="inlineStr">
        <is>
          <t>Damaris Beltran Arias</t>
        </is>
      </c>
      <c r="B6" s="5" t="inlineStr">
        <is>
          <t>Aux enfermeria</t>
        </is>
      </c>
      <c r="C6" s="5" t="inlineStr">
        <is>
          <t>13:00-14:00</t>
        </is>
      </c>
      <c r="D6" s="5" t="inlineStr">
        <is>
          <t>9:00-18:00</t>
        </is>
      </c>
      <c r="E6" s="5" t="inlineStr">
        <is>
          <t>7:00-16:00</t>
        </is>
      </c>
      <c r="F6" s="5" t="inlineStr">
        <is>
          <t>7:00-12:00</t>
        </is>
      </c>
      <c r="G6" s="6" t="n"/>
      <c r="H6" s="5" t="inlineStr">
        <is>
          <t>7:00-15:00</t>
        </is>
      </c>
      <c r="I6" s="5" t="inlineStr">
        <is>
          <t>9:00-18:00</t>
        </is>
      </c>
      <c r="J6" s="5" t="inlineStr">
        <is>
          <t>7:00-16:00</t>
        </is>
      </c>
      <c r="K6" s="5" t="inlineStr">
        <is>
          <t>9:00-18:00</t>
        </is>
      </c>
      <c r="L6" s="5" t="inlineStr">
        <is>
          <t>7:00-16:00</t>
        </is>
      </c>
      <c r="M6" s="6" t="n"/>
      <c r="N6" s="6" t="n"/>
      <c r="O6" s="7" t="inlineStr">
        <is>
          <t>FESTIVO</t>
        </is>
      </c>
      <c r="P6" s="5" t="inlineStr">
        <is>
          <t>9:00-18:00</t>
        </is>
      </c>
      <c r="Q6" s="5" t="inlineStr">
        <is>
          <t>7:00-16:00</t>
        </is>
      </c>
      <c r="R6" s="5" t="inlineStr">
        <is>
          <t>9:00-18:00</t>
        </is>
      </c>
      <c r="S6" s="5" t="inlineStr">
        <is>
          <t>7:00-16:00</t>
        </is>
      </c>
      <c r="T6" s="5" t="inlineStr">
        <is>
          <t>7:00-12:00</t>
        </is>
      </c>
      <c r="U6" s="6" t="n"/>
      <c r="V6" s="5" t="inlineStr">
        <is>
          <t>7:00-15:00</t>
        </is>
      </c>
      <c r="W6" s="5" t="inlineStr">
        <is>
          <t>9:00-18:00</t>
        </is>
      </c>
      <c r="X6" s="5" t="inlineStr">
        <is>
          <t>7:00-16:00</t>
        </is>
      </c>
      <c r="Y6" s="5" t="inlineStr">
        <is>
          <t>9:00-18:00</t>
        </is>
      </c>
      <c r="Z6" s="5" t="inlineStr">
        <is>
          <t>7:00-16:00</t>
        </is>
      </c>
      <c r="AA6" s="6" t="n"/>
      <c r="AB6" s="6" t="n"/>
      <c r="AC6" s="5" t="inlineStr">
        <is>
          <t>7:00-15:00</t>
        </is>
      </c>
      <c r="AD6" s="5" t="inlineStr">
        <is>
          <t>9:00-18:00</t>
        </is>
      </c>
      <c r="AE6" s="5" t="inlineStr">
        <is>
          <t>7:00-16:00</t>
        </is>
      </c>
      <c r="AF6" s="5" t="inlineStr">
        <is>
          <t>9:00-18:00</t>
        </is>
      </c>
      <c r="AG6" s="5" t="inlineStr">
        <is>
          <t>7:00-16:00</t>
        </is>
      </c>
      <c r="AH6" s="5" t="inlineStr">
        <is>
          <t>7:00-12:00</t>
        </is>
      </c>
      <c r="AI6" s="5">
        <f>AN22</f>
        <v/>
      </c>
    </row>
    <row r="7" ht="15" customHeight="1">
      <c r="A7" s="4" t="inlineStr">
        <is>
          <t>Adriana Chaparro Vasquez</t>
        </is>
      </c>
      <c r="B7" s="5" t="inlineStr">
        <is>
          <t>Aux Administrativa</t>
        </is>
      </c>
      <c r="C7" s="5" t="inlineStr">
        <is>
          <t>13:00-14:00</t>
        </is>
      </c>
      <c r="D7" s="5" t="inlineStr">
        <is>
          <t>7:30-16:30</t>
        </is>
      </c>
      <c r="E7" s="5" t="inlineStr">
        <is>
          <t>7:30-16:30</t>
        </is>
      </c>
      <c r="F7" s="6" t="n"/>
      <c r="G7" s="6" t="n"/>
      <c r="H7" s="5" t="inlineStr">
        <is>
          <t>7:30-17:30</t>
        </is>
      </c>
      <c r="I7" s="5" t="inlineStr">
        <is>
          <t>7:30-16:30</t>
        </is>
      </c>
      <c r="J7" s="5" t="inlineStr">
        <is>
          <t>7:30-16:30</t>
        </is>
      </c>
      <c r="K7" s="5" t="inlineStr">
        <is>
          <t>7:30-16:30</t>
        </is>
      </c>
      <c r="L7" s="5" t="inlineStr">
        <is>
          <t>7:30-16:30</t>
        </is>
      </c>
      <c r="M7" s="6" t="n"/>
      <c r="N7" s="6" t="n"/>
      <c r="O7" s="7" t="inlineStr">
        <is>
          <t>FESTIVO</t>
        </is>
      </c>
      <c r="P7" s="5" t="inlineStr">
        <is>
          <t>7:30-16:30</t>
        </is>
      </c>
      <c r="Q7" s="5" t="inlineStr">
        <is>
          <t>7:30-16:30</t>
        </is>
      </c>
      <c r="R7" s="5" t="inlineStr">
        <is>
          <t>7:30-16:30</t>
        </is>
      </c>
      <c r="S7" s="5" t="inlineStr">
        <is>
          <t>7:30-16:30</t>
        </is>
      </c>
      <c r="T7" s="6" t="n"/>
      <c r="U7" s="6" t="n"/>
      <c r="V7" s="5" t="inlineStr">
        <is>
          <t>7:30-17:30</t>
        </is>
      </c>
      <c r="W7" s="5" t="inlineStr">
        <is>
          <t>7:30-16:30</t>
        </is>
      </c>
      <c r="X7" s="5" t="inlineStr">
        <is>
          <t>7:30-16:30</t>
        </is>
      </c>
      <c r="Y7" s="5" t="inlineStr">
        <is>
          <t>7:30-16:30</t>
        </is>
      </c>
      <c r="Z7" s="5" t="inlineStr">
        <is>
          <t>7:30-16:30</t>
        </is>
      </c>
      <c r="AA7" s="6" t="n"/>
      <c r="AB7" s="6" t="n"/>
      <c r="AC7" s="5" t="inlineStr">
        <is>
          <t>7:30-17:30</t>
        </is>
      </c>
      <c r="AD7" s="5" t="inlineStr">
        <is>
          <t>7:30-16:30</t>
        </is>
      </c>
      <c r="AE7" s="5" t="inlineStr">
        <is>
          <t>7:30-16:30</t>
        </is>
      </c>
      <c r="AF7" s="5" t="inlineStr">
        <is>
          <t>7:30-16:30</t>
        </is>
      </c>
      <c r="AG7" s="5" t="inlineStr">
        <is>
          <t>7:30-16:30</t>
        </is>
      </c>
      <c r="AH7" s="6" t="n"/>
      <c r="AI7" s="5">
        <f>AN23</f>
        <v/>
      </c>
    </row>
    <row r="8" ht="15" customHeight="1">
      <c r="A8" s="4" t="inlineStr">
        <is>
          <t>Mileidy Baquero</t>
        </is>
      </c>
      <c r="B8" s="5" t="inlineStr">
        <is>
          <t>Aux Enfermeria</t>
        </is>
      </c>
      <c r="C8" s="5" t="inlineStr">
        <is>
          <t>13:00-14:00</t>
        </is>
      </c>
      <c r="D8" s="5" t="inlineStr">
        <is>
          <t>7:30-16:00</t>
        </is>
      </c>
      <c r="E8" s="5" t="inlineStr">
        <is>
          <t>7:00-16:00</t>
        </is>
      </c>
      <c r="F8" s="5" t="inlineStr">
        <is>
          <t>8:00-11:00</t>
        </is>
      </c>
      <c r="G8" s="6" t="n"/>
      <c r="H8" s="5" t="inlineStr">
        <is>
          <t>7:30-16:30</t>
        </is>
      </c>
      <c r="I8" s="5" t="inlineStr">
        <is>
          <t>7:30-16:00</t>
        </is>
      </c>
      <c r="J8" s="5" t="inlineStr">
        <is>
          <t>7:00-16:00</t>
        </is>
      </c>
      <c r="K8" s="5" t="inlineStr">
        <is>
          <t>7:30-16:00</t>
        </is>
      </c>
      <c r="L8" s="5" t="inlineStr">
        <is>
          <t>7:00-16:00</t>
        </is>
      </c>
      <c r="M8" s="5" t="inlineStr">
        <is>
          <t>8:00-11:00</t>
        </is>
      </c>
      <c r="N8" s="6" t="n"/>
      <c r="O8" s="7" t="inlineStr">
        <is>
          <t>FESTIVO</t>
        </is>
      </c>
      <c r="P8" s="5" t="inlineStr">
        <is>
          <t>7:30-16:00</t>
        </is>
      </c>
      <c r="Q8" s="5" t="inlineStr">
        <is>
          <t>7:00-16:00</t>
        </is>
      </c>
      <c r="R8" s="5" t="inlineStr">
        <is>
          <t>7:30-16:00</t>
        </is>
      </c>
      <c r="S8" s="5" t="inlineStr">
        <is>
          <t>7:00-16:00</t>
        </is>
      </c>
      <c r="T8" s="5" t="inlineStr">
        <is>
          <t>8:00-11:00</t>
        </is>
      </c>
      <c r="U8" s="6" t="n"/>
      <c r="V8" s="5" t="inlineStr">
        <is>
          <t>7:30-16:30</t>
        </is>
      </c>
      <c r="W8" s="5" t="inlineStr">
        <is>
          <t>7:30-16:00</t>
        </is>
      </c>
      <c r="X8" s="5" t="inlineStr">
        <is>
          <t>7:00-16:00</t>
        </is>
      </c>
      <c r="Y8" s="5" t="inlineStr">
        <is>
          <t>7:30-16:00</t>
        </is>
      </c>
      <c r="Z8" s="5" t="inlineStr">
        <is>
          <t>7:00-16:00</t>
        </is>
      </c>
      <c r="AA8" s="5" t="inlineStr">
        <is>
          <t>8:00-11:00</t>
        </is>
      </c>
      <c r="AB8" s="6" t="n"/>
      <c r="AC8" s="5" t="inlineStr">
        <is>
          <t>7:30-16:30</t>
        </is>
      </c>
      <c r="AD8" s="5" t="inlineStr">
        <is>
          <t>7:30-16:00</t>
        </is>
      </c>
      <c r="AE8" s="5" t="inlineStr">
        <is>
          <t>7:00-16:00</t>
        </is>
      </c>
      <c r="AF8" s="5" t="inlineStr">
        <is>
          <t>7:30-16:00</t>
        </is>
      </c>
      <c r="AG8" s="5" t="inlineStr">
        <is>
          <t>7:00-16:00</t>
        </is>
      </c>
      <c r="AH8" s="5" t="inlineStr">
        <is>
          <t>8:00-11:00</t>
        </is>
      </c>
      <c r="AI8" s="5">
        <f>AN24</f>
        <v/>
      </c>
    </row>
    <row r="9" ht="15" customHeight="1">
      <c r="A9" s="4" t="inlineStr">
        <is>
          <t>Daniel Salas</t>
        </is>
      </c>
      <c r="B9" s="5" t="inlineStr">
        <is>
          <t>Aux Vacunacion</t>
        </is>
      </c>
      <c r="C9" s="5" t="inlineStr">
        <is>
          <t>12:00-13:00</t>
        </is>
      </c>
      <c r="D9" s="5" t="inlineStr">
        <is>
          <t>7:30-16:30</t>
        </is>
      </c>
      <c r="E9" s="5" t="inlineStr">
        <is>
          <t>8:00-17:00</t>
        </is>
      </c>
      <c r="F9" s="5" t="inlineStr">
        <is>
          <t>8:00-11:00</t>
        </is>
      </c>
      <c r="G9" s="6" t="n"/>
      <c r="H9" s="5" t="inlineStr">
        <is>
          <t>8:00-17:00</t>
        </is>
      </c>
      <c r="I9" s="5" t="inlineStr">
        <is>
          <t>8:30-16:30</t>
        </is>
      </c>
      <c r="J9" s="5" t="inlineStr">
        <is>
          <t>7:30-16:30</t>
        </is>
      </c>
      <c r="K9" s="5" t="inlineStr">
        <is>
          <t>7:30-16:30</t>
        </is>
      </c>
      <c r="L9" s="5" t="inlineStr">
        <is>
          <t>8:00-17:00</t>
        </is>
      </c>
      <c r="M9" s="5" t="inlineStr">
        <is>
          <t>8:00-11:00</t>
        </is>
      </c>
      <c r="N9" s="6" t="n"/>
      <c r="O9" s="7" t="inlineStr">
        <is>
          <t>FESTIVO</t>
        </is>
      </c>
      <c r="P9" s="5" t="inlineStr">
        <is>
          <t>8:30-16:30</t>
        </is>
      </c>
      <c r="Q9" s="5" t="inlineStr">
        <is>
          <t>7:30-16:30</t>
        </is>
      </c>
      <c r="R9" s="5" t="inlineStr">
        <is>
          <t>7:30-16:30</t>
        </is>
      </c>
      <c r="S9" s="5" t="inlineStr">
        <is>
          <t>8:00-17:00</t>
        </is>
      </c>
      <c r="T9" s="5" t="inlineStr">
        <is>
          <t>8:00-11:00</t>
        </is>
      </c>
      <c r="U9" s="6" t="n"/>
      <c r="V9" s="5" t="inlineStr">
        <is>
          <t>8:00-17:00</t>
        </is>
      </c>
      <c r="W9" s="5" t="inlineStr">
        <is>
          <t>8:30-16:30</t>
        </is>
      </c>
      <c r="X9" s="5" t="inlineStr">
        <is>
          <t>7:30-16:30</t>
        </is>
      </c>
      <c r="Y9" s="5" t="inlineStr">
        <is>
          <t>7:30-16:30</t>
        </is>
      </c>
      <c r="Z9" s="5" t="inlineStr">
        <is>
          <t>8:00-17:00</t>
        </is>
      </c>
      <c r="AA9" s="5" t="inlineStr">
        <is>
          <t>8:00-11:00</t>
        </is>
      </c>
      <c r="AB9" s="6" t="n"/>
      <c r="AC9" s="5" t="inlineStr">
        <is>
          <t>8:00-17:00</t>
        </is>
      </c>
      <c r="AD9" s="5" t="inlineStr">
        <is>
          <t>8:30-16:30</t>
        </is>
      </c>
      <c r="AE9" s="5" t="inlineStr">
        <is>
          <t>7:30-16:30</t>
        </is>
      </c>
      <c r="AF9" s="5" t="inlineStr">
        <is>
          <t>7:30-16:30</t>
        </is>
      </c>
      <c r="AG9" s="5" t="inlineStr">
        <is>
          <t>8:00-17:00</t>
        </is>
      </c>
      <c r="AH9" s="5" t="inlineStr">
        <is>
          <t>8:00-11:00</t>
        </is>
      </c>
      <c r="AI9" s="5">
        <f>AN25</f>
        <v/>
      </c>
    </row>
    <row r="10" ht="15" customHeight="1">
      <c r="A10" s="4" t="inlineStr">
        <is>
          <t>Yeimmi Alejandra Aya Muñoz</t>
        </is>
      </c>
      <c r="B10" s="5" t="inlineStr">
        <is>
          <t>Regente Farmacia</t>
        </is>
      </c>
      <c r="C10" s="5" t="inlineStr">
        <is>
          <t>12:00-13:00</t>
        </is>
      </c>
      <c r="D10" s="5" t="inlineStr">
        <is>
          <t>7:30-16:30</t>
        </is>
      </c>
      <c r="E10" s="5" t="inlineStr">
        <is>
          <t>7:30-16:30</t>
        </is>
      </c>
      <c r="F10" s="6" t="n"/>
      <c r="G10" s="6" t="n"/>
      <c r="H10" s="5" t="inlineStr">
        <is>
          <t>7:30-16:30</t>
        </is>
      </c>
      <c r="I10" s="5" t="inlineStr">
        <is>
          <t>7:30-16:30</t>
        </is>
      </c>
      <c r="J10" s="5" t="inlineStr">
        <is>
          <t>7:30-16:30</t>
        </is>
      </c>
      <c r="K10" s="5" t="inlineStr">
        <is>
          <t>7:30-16:30</t>
        </is>
      </c>
      <c r="L10" s="5" t="inlineStr">
        <is>
          <t>7:30-16:30</t>
        </is>
      </c>
      <c r="M10" s="5" t="inlineStr">
        <is>
          <t>7:30-11:30</t>
        </is>
      </c>
      <c r="N10" s="6" t="n"/>
      <c r="O10" s="7" t="inlineStr">
        <is>
          <t>FESTIVO</t>
        </is>
      </c>
      <c r="P10" s="5" t="inlineStr">
        <is>
          <t>7:30-16:30</t>
        </is>
      </c>
      <c r="Q10" s="5" t="inlineStr">
        <is>
          <t>7:30-16:30</t>
        </is>
      </c>
      <c r="R10" s="5" t="inlineStr">
        <is>
          <t>7:30-16:30</t>
        </is>
      </c>
      <c r="S10" s="5" t="inlineStr">
        <is>
          <t>7:30-16:30</t>
        </is>
      </c>
      <c r="T10" s="6" t="n"/>
      <c r="U10" s="6" t="n"/>
      <c r="V10" s="5" t="inlineStr">
        <is>
          <t>7:30-16:30</t>
        </is>
      </c>
      <c r="W10" s="5" t="inlineStr">
        <is>
          <t>7:30-16:30</t>
        </is>
      </c>
      <c r="X10" s="5" t="inlineStr">
        <is>
          <t>7:30-16:30</t>
        </is>
      </c>
      <c r="Y10" s="5" t="inlineStr">
        <is>
          <t>7:30-16:30</t>
        </is>
      </c>
      <c r="Z10" s="5" t="inlineStr">
        <is>
          <t>7:30-16:30</t>
        </is>
      </c>
      <c r="AA10" s="5" t="inlineStr">
        <is>
          <t>7:30-11:30</t>
        </is>
      </c>
      <c r="AB10" s="6" t="n"/>
      <c r="AC10" s="5" t="inlineStr">
        <is>
          <t>7:30-16:30</t>
        </is>
      </c>
      <c r="AD10" s="5" t="inlineStr">
        <is>
          <t>7:30-16:30</t>
        </is>
      </c>
      <c r="AE10" s="5" t="inlineStr">
        <is>
          <t>7:30-16:30</t>
        </is>
      </c>
      <c r="AF10" s="5" t="inlineStr">
        <is>
          <t>7:30-16:30</t>
        </is>
      </c>
      <c r="AG10" s="5" t="inlineStr">
        <is>
          <t>7:30-16:30</t>
        </is>
      </c>
      <c r="AH10" s="6" t="n"/>
      <c r="AI10" s="5">
        <f>AN26</f>
        <v/>
      </c>
    </row>
    <row r="11" ht="15" customHeight="1">
      <c r="A11" s="4" t="inlineStr">
        <is>
          <t>Michael Nicolas Torres Sierra</t>
        </is>
      </c>
      <c r="B11" s="5" t="inlineStr">
        <is>
          <t>Trabajo social</t>
        </is>
      </c>
      <c r="C11" s="5" t="inlineStr">
        <is>
          <t>12:00-13:00</t>
        </is>
      </c>
      <c r="D11" s="5" t="inlineStr">
        <is>
          <t>7:30-16:30</t>
        </is>
      </c>
      <c r="E11" s="5" t="inlineStr">
        <is>
          <t>7:00-16:30</t>
        </is>
      </c>
      <c r="F11" s="5" t="inlineStr">
        <is>
          <t>7:30-11:30</t>
        </is>
      </c>
      <c r="G11" s="6" t="n"/>
      <c r="H11" s="5" t="inlineStr">
        <is>
          <t>8:00-16:30</t>
        </is>
      </c>
      <c r="I11" s="5" t="inlineStr">
        <is>
          <t>7:00-16:30</t>
        </is>
      </c>
      <c r="J11" s="5" t="inlineStr">
        <is>
          <t>8:00-16:30</t>
        </is>
      </c>
      <c r="K11" s="5" t="inlineStr">
        <is>
          <t>7:30-16:30</t>
        </is>
      </c>
      <c r="L11" s="5" t="inlineStr">
        <is>
          <t>7:00-16:30</t>
        </is>
      </c>
      <c r="M11" s="6" t="n"/>
      <c r="N11" s="6" t="n"/>
      <c r="O11" s="7" t="inlineStr">
        <is>
          <t>FESTIVO</t>
        </is>
      </c>
      <c r="P11" s="5" t="inlineStr">
        <is>
          <t>7:00-16:30</t>
        </is>
      </c>
      <c r="Q11" s="5" t="inlineStr">
        <is>
          <t>8:00-16:30</t>
        </is>
      </c>
      <c r="R11" s="5" t="inlineStr">
        <is>
          <t>7:30-16:30</t>
        </is>
      </c>
      <c r="S11" s="5" t="inlineStr">
        <is>
          <t>7:00-16:30</t>
        </is>
      </c>
      <c r="T11" s="5" t="inlineStr">
        <is>
          <t>7:30-11:30</t>
        </is>
      </c>
      <c r="U11" s="6" t="n"/>
      <c r="V11" s="5" t="inlineStr">
        <is>
          <t>8:00-16:30</t>
        </is>
      </c>
      <c r="W11" s="5" t="inlineStr">
        <is>
          <t>7:00-16:30</t>
        </is>
      </c>
      <c r="X11" s="5" t="inlineStr">
        <is>
          <t>8:00-16:30</t>
        </is>
      </c>
      <c r="Y11" s="5" t="inlineStr">
        <is>
          <t>7:30-16:30</t>
        </is>
      </c>
      <c r="Z11" s="5" t="inlineStr">
        <is>
          <t>7:00-16:30</t>
        </is>
      </c>
      <c r="AA11" s="6" t="n"/>
      <c r="AB11" s="6" t="n"/>
      <c r="AC11" s="5" t="inlineStr">
        <is>
          <t>8:00-16:30</t>
        </is>
      </c>
      <c r="AD11" s="5" t="inlineStr">
        <is>
          <t>7:00-16:30</t>
        </is>
      </c>
      <c r="AE11" s="5" t="inlineStr">
        <is>
          <t>8:00-16:30</t>
        </is>
      </c>
      <c r="AF11" s="5" t="inlineStr">
        <is>
          <t>7:30-16:30</t>
        </is>
      </c>
      <c r="AG11" s="5" t="inlineStr">
        <is>
          <t>7:00-16:30</t>
        </is>
      </c>
      <c r="AH11" s="5" t="inlineStr">
        <is>
          <t>7:30-11:30</t>
        </is>
      </c>
      <c r="AI11" s="5">
        <f>AN27</f>
        <v/>
      </c>
    </row>
    <row r="12" ht="15" customHeight="1">
      <c r="A12" s="4" t="inlineStr">
        <is>
          <t>Marly Katherin Romero Lara</t>
        </is>
      </c>
      <c r="B12" s="5" t="inlineStr">
        <is>
          <t>Enfermera</t>
        </is>
      </c>
      <c r="C12" s="5" t="inlineStr">
        <is>
          <t>13:00-14:00</t>
        </is>
      </c>
      <c r="D12" s="5" t="inlineStr">
        <is>
          <t>7:00-15:36</t>
        </is>
      </c>
      <c r="E12" s="5" t="inlineStr">
        <is>
          <t>7:00-15:36</t>
        </is>
      </c>
      <c r="F12" s="5" t="inlineStr">
        <is>
          <t>8:00-12:00</t>
        </is>
      </c>
      <c r="G12" s="6" t="n"/>
      <c r="H12" s="5" t="inlineStr">
        <is>
          <t>7:00-15:36</t>
        </is>
      </c>
      <c r="I12" s="5" t="inlineStr">
        <is>
          <t>7:00-15:36</t>
        </is>
      </c>
      <c r="J12" s="5" t="inlineStr">
        <is>
          <t>7:00-15:36</t>
        </is>
      </c>
      <c r="K12" s="5" t="inlineStr">
        <is>
          <t>7:00-15:36</t>
        </is>
      </c>
      <c r="L12" s="5" t="inlineStr">
        <is>
          <t>7:00-15:36</t>
        </is>
      </c>
      <c r="M12" s="5" t="inlineStr">
        <is>
          <t>8:00-12:00</t>
        </is>
      </c>
      <c r="N12" s="6" t="n"/>
      <c r="O12" s="7" t="inlineStr">
        <is>
          <t>FESTIVO</t>
        </is>
      </c>
      <c r="P12" s="5" t="inlineStr">
        <is>
          <t>7:00-15:36</t>
        </is>
      </c>
      <c r="Q12" s="5" t="inlineStr">
        <is>
          <t>7:00-15:36</t>
        </is>
      </c>
      <c r="R12" s="5" t="inlineStr">
        <is>
          <t>7:00-15:36</t>
        </is>
      </c>
      <c r="S12" s="5" t="inlineStr">
        <is>
          <t>7:00-15:36</t>
        </is>
      </c>
      <c r="T12" s="5" t="inlineStr">
        <is>
          <t>8:00-12:00</t>
        </is>
      </c>
      <c r="U12" s="6" t="n"/>
      <c r="V12" s="5" t="inlineStr">
        <is>
          <t>7:00-15:36</t>
        </is>
      </c>
      <c r="W12" s="5" t="inlineStr">
        <is>
          <t>7:00-15:36</t>
        </is>
      </c>
      <c r="X12" s="5" t="inlineStr">
        <is>
          <t>7:00-15:36</t>
        </is>
      </c>
      <c r="Y12" s="5" t="inlineStr">
        <is>
          <t>7:00-15:36</t>
        </is>
      </c>
      <c r="Z12" s="5" t="inlineStr">
        <is>
          <t>7:00-15:36</t>
        </is>
      </c>
      <c r="AA12" s="5" t="inlineStr">
        <is>
          <t>8:00-12:00</t>
        </is>
      </c>
      <c r="AB12" s="6" t="n"/>
      <c r="AC12" s="5" t="inlineStr">
        <is>
          <t>7:00-15:36</t>
        </is>
      </c>
      <c r="AD12" s="5" t="inlineStr">
        <is>
          <t>7:00-15:36</t>
        </is>
      </c>
      <c r="AE12" s="5" t="inlineStr">
        <is>
          <t>7:00-15:36</t>
        </is>
      </c>
      <c r="AF12" s="5" t="inlineStr">
        <is>
          <t>7:00-15:36</t>
        </is>
      </c>
      <c r="AG12" s="5" t="inlineStr">
        <is>
          <t>7:00-15:36</t>
        </is>
      </c>
      <c r="AH12" s="5" t="inlineStr">
        <is>
          <t>8:00-12:00</t>
        </is>
      </c>
      <c r="AI12" s="5">
        <f>AN28</f>
        <v/>
      </c>
    </row>
    <row r="13" ht="15" customHeight="1">
      <c r="A13" s="4" t="inlineStr">
        <is>
          <t>Sandra Patricia Martinez Pardo</t>
        </is>
      </c>
      <c r="B13" s="5" t="inlineStr">
        <is>
          <t>Odontologa</t>
        </is>
      </c>
      <c r="C13" s="5" t="inlineStr">
        <is>
          <t>13:00-14:00</t>
        </is>
      </c>
      <c r="D13" s="5" t="inlineStr">
        <is>
          <t>7:00-16:00</t>
        </is>
      </c>
      <c r="E13" s="5" t="inlineStr">
        <is>
          <t>7:30-16:30</t>
        </is>
      </c>
      <c r="F13" s="6" t="n"/>
      <c r="G13" s="6" t="n"/>
      <c r="H13" s="5" t="inlineStr">
        <is>
          <t>7:30-16:30</t>
        </is>
      </c>
      <c r="I13" s="5" t="inlineStr">
        <is>
          <t>7:00-16:00</t>
        </is>
      </c>
      <c r="J13" s="5" t="inlineStr">
        <is>
          <t>7:00-16:00</t>
        </is>
      </c>
      <c r="K13" s="5" t="inlineStr">
        <is>
          <t>7:00-16:00</t>
        </is>
      </c>
      <c r="L13" s="5" t="inlineStr">
        <is>
          <t>7:30-16:30</t>
        </is>
      </c>
      <c r="M13" s="6" t="n"/>
      <c r="N13" s="6" t="n"/>
      <c r="O13" s="7" t="inlineStr">
        <is>
          <t>FESTIVO</t>
        </is>
      </c>
      <c r="P13" s="5" t="inlineStr">
        <is>
          <t>7:00-16:00</t>
        </is>
      </c>
      <c r="Q13" s="5" t="inlineStr">
        <is>
          <t>7:00-16:00</t>
        </is>
      </c>
      <c r="R13" s="5" t="inlineStr">
        <is>
          <t>7:00-16:00</t>
        </is>
      </c>
      <c r="S13" s="5" t="inlineStr">
        <is>
          <t>7:30-16:30</t>
        </is>
      </c>
      <c r="T13" s="5" t="inlineStr">
        <is>
          <t>7:30-11:30</t>
        </is>
      </c>
      <c r="U13" s="6" t="n"/>
      <c r="V13" s="5" t="inlineStr">
        <is>
          <t>7:30-16:30</t>
        </is>
      </c>
      <c r="W13" s="5" t="inlineStr">
        <is>
          <t>7:00-16:00</t>
        </is>
      </c>
      <c r="X13" s="5" t="inlineStr">
        <is>
          <t>7:00-16:00</t>
        </is>
      </c>
      <c r="Y13" s="5" t="inlineStr">
        <is>
          <t>7:00-16:00</t>
        </is>
      </c>
      <c r="Z13" s="5" t="inlineStr">
        <is>
          <t>7:30-16:30</t>
        </is>
      </c>
      <c r="AA13" s="5" t="inlineStr">
        <is>
          <t>7:30-11:30</t>
        </is>
      </c>
      <c r="AB13" s="6" t="n"/>
      <c r="AC13" s="5" t="inlineStr">
        <is>
          <t>7:30-16:30</t>
        </is>
      </c>
      <c r="AD13" s="5" t="inlineStr">
        <is>
          <t>7:00-16:00</t>
        </is>
      </c>
      <c r="AE13" s="5" t="inlineStr">
        <is>
          <t>7:00-16:00</t>
        </is>
      </c>
      <c r="AF13" s="5" t="inlineStr">
        <is>
          <t>7:00-16:00</t>
        </is>
      </c>
      <c r="AG13" s="5" t="inlineStr">
        <is>
          <t>7:30-16:30</t>
        </is>
      </c>
      <c r="AH13" s="6" t="n"/>
      <c r="AI13" s="5">
        <f>AN29</f>
        <v/>
      </c>
    </row>
    <row r="14" ht="15" customHeight="1">
      <c r="A14" s="4" t="inlineStr">
        <is>
          <t>Paula Zujey Bermúdez Almanza</t>
        </is>
      </c>
      <c r="B14" s="5" t="inlineStr">
        <is>
          <t>Psicologa</t>
        </is>
      </c>
      <c r="C14" s="5" t="inlineStr">
        <is>
          <t>13:00-14:00</t>
        </is>
      </c>
      <c r="D14" s="5" t="inlineStr">
        <is>
          <t>7:00-16:30</t>
        </is>
      </c>
      <c r="E14" s="5" t="inlineStr">
        <is>
          <t>8:00-16:30</t>
        </is>
      </c>
      <c r="F14" s="6" t="n"/>
      <c r="G14" s="6" t="n"/>
      <c r="H14" s="5" t="inlineStr">
        <is>
          <t>7:00-16:00</t>
        </is>
      </c>
      <c r="I14" s="5" t="inlineStr">
        <is>
          <t>8:00-16:30</t>
        </is>
      </c>
      <c r="J14" s="5" t="inlineStr">
        <is>
          <t>7:00-16:30</t>
        </is>
      </c>
      <c r="K14" s="5" t="inlineStr">
        <is>
          <t>7:00-16:30</t>
        </is>
      </c>
      <c r="L14" s="5" t="inlineStr">
        <is>
          <t>8:00-16:30</t>
        </is>
      </c>
      <c r="M14" s="5" t="inlineStr">
        <is>
          <t>7:30-11:30</t>
        </is>
      </c>
      <c r="N14" s="6" t="n"/>
      <c r="O14" s="7" t="inlineStr">
        <is>
          <t>FESTIVO</t>
        </is>
      </c>
      <c r="P14" s="5" t="inlineStr">
        <is>
          <t>8:00-16:30</t>
        </is>
      </c>
      <c r="Q14" s="5" t="inlineStr">
        <is>
          <t>7:00-16:30</t>
        </is>
      </c>
      <c r="R14" s="8" t="inlineStr">
        <is>
          <t>VACACIONES</t>
        </is>
      </c>
      <c r="S14" s="8" t="inlineStr">
        <is>
          <t>VACACIONES</t>
        </is>
      </c>
      <c r="T14" s="8" t="inlineStr">
        <is>
          <t>VACACIONES</t>
        </is>
      </c>
      <c r="U14" s="8" t="inlineStr">
        <is>
          <t>VACACIONES</t>
        </is>
      </c>
      <c r="V14" s="8" t="inlineStr">
        <is>
          <t>VACACIONES</t>
        </is>
      </c>
      <c r="W14" s="8" t="inlineStr">
        <is>
          <t>VACACIONES</t>
        </is>
      </c>
      <c r="X14" s="8" t="inlineStr">
        <is>
          <t>VACACIONES</t>
        </is>
      </c>
      <c r="Y14" s="8" t="inlineStr">
        <is>
          <t>VACACIONES</t>
        </is>
      </c>
      <c r="Z14" s="8" t="inlineStr">
        <is>
          <t>VACACIONES</t>
        </is>
      </c>
      <c r="AA14" s="8" t="inlineStr">
        <is>
          <t>VACACIONES</t>
        </is>
      </c>
      <c r="AB14" s="8" t="inlineStr">
        <is>
          <t>VACACIONES</t>
        </is>
      </c>
      <c r="AC14" s="8" t="inlineStr">
        <is>
          <t>VACACIONES</t>
        </is>
      </c>
      <c r="AD14" s="8" t="inlineStr">
        <is>
          <t>VACACIONES</t>
        </is>
      </c>
      <c r="AE14" s="8" t="inlineStr">
        <is>
          <t>VACACIONES</t>
        </is>
      </c>
      <c r="AF14" s="8" t="inlineStr">
        <is>
          <t>VACACIONES</t>
        </is>
      </c>
      <c r="AG14" s="8" t="inlineStr">
        <is>
          <t>VACACIONES</t>
        </is>
      </c>
      <c r="AH14" s="8" t="inlineStr">
        <is>
          <t>VACACIONES</t>
        </is>
      </c>
      <c r="AI14" s="5">
        <f>AN30</f>
        <v/>
      </c>
    </row>
    <row r="15" ht="15" customHeight="1">
      <c r="A15" s="4" t="inlineStr">
        <is>
          <t>Fabio Andres Vargas</t>
        </is>
      </c>
      <c r="B15" s="5" t="inlineStr">
        <is>
          <t>Medico Experto</t>
        </is>
      </c>
      <c r="C15" s="5" t="inlineStr">
        <is>
          <t>Medico Experto</t>
        </is>
      </c>
      <c r="D15" s="5" t="inlineStr">
        <is>
          <t>13:00-18:00</t>
        </is>
      </c>
      <c r="E15" s="5" t="inlineStr">
        <is>
          <t>14:00-18:00</t>
        </is>
      </c>
      <c r="F15" s="5" t="inlineStr">
        <is>
          <t>7:00-13:00</t>
        </is>
      </c>
      <c r="G15" s="6" t="n"/>
      <c r="H15" s="5" t="inlineStr">
        <is>
          <t>14:00-18:00</t>
        </is>
      </c>
      <c r="I15" s="5" t="inlineStr">
        <is>
          <t>14:00-18:00</t>
        </is>
      </c>
      <c r="J15" s="5" t="inlineStr">
        <is>
          <t>14:00-18:00</t>
        </is>
      </c>
      <c r="K15" s="5" t="inlineStr">
        <is>
          <t>13:00-18:00</t>
        </is>
      </c>
      <c r="L15" s="5" t="inlineStr">
        <is>
          <t>14:00-18:00</t>
        </is>
      </c>
      <c r="M15" s="6" t="n"/>
      <c r="N15" s="6" t="n"/>
      <c r="O15" s="7" t="inlineStr">
        <is>
          <t>FESTIVO</t>
        </is>
      </c>
      <c r="P15" s="5" t="inlineStr">
        <is>
          <t>14:00-18:00</t>
        </is>
      </c>
      <c r="Q15" s="5" t="inlineStr">
        <is>
          <t>14:00-18:00</t>
        </is>
      </c>
      <c r="R15" s="5" t="inlineStr">
        <is>
          <t>13:00-18:00</t>
        </is>
      </c>
      <c r="S15" s="5" t="inlineStr">
        <is>
          <t>14:00-18:00</t>
        </is>
      </c>
      <c r="T15" s="5" t="inlineStr">
        <is>
          <t>7:00-13:00</t>
        </is>
      </c>
      <c r="U15" s="6" t="n"/>
      <c r="V15" s="5" t="inlineStr">
        <is>
          <t>14:00-18:00</t>
        </is>
      </c>
      <c r="W15" s="5" t="inlineStr">
        <is>
          <t>14:00-18:00</t>
        </is>
      </c>
      <c r="X15" s="5" t="inlineStr">
        <is>
          <t>14:00-18:00</t>
        </is>
      </c>
      <c r="Y15" s="5" t="inlineStr">
        <is>
          <t>13:00-18:00</t>
        </is>
      </c>
      <c r="Z15" s="5" t="inlineStr">
        <is>
          <t>14:00-18:00</t>
        </is>
      </c>
      <c r="AA15" s="6" t="n"/>
      <c r="AB15" s="6" t="n"/>
      <c r="AC15" s="5" t="inlineStr">
        <is>
          <t>14:00-18:00</t>
        </is>
      </c>
      <c r="AD15" s="5" t="inlineStr">
        <is>
          <t>14:00-18:00</t>
        </is>
      </c>
      <c r="AE15" s="5" t="inlineStr">
        <is>
          <t>14:00-18:00</t>
        </is>
      </c>
      <c r="AF15" s="5" t="inlineStr">
        <is>
          <t>13:00-18:00</t>
        </is>
      </c>
      <c r="AG15" s="5" t="inlineStr">
        <is>
          <t>14:00-18:00</t>
        </is>
      </c>
      <c r="AH15" s="6" t="n"/>
      <c r="AI15" s="5">
        <f>AN31</f>
        <v/>
      </c>
    </row>
    <row r="16" ht="15" customHeight="1"/>
    <row r="17" ht="15" customHeight="1">
      <c r="A17" s="1" t="inlineStr">
        <is>
          <t>Nombre</t>
        </is>
      </c>
      <c r="B17" s="1" t="inlineStr">
        <is>
          <t>Cargo</t>
        </is>
      </c>
      <c r="C17" s="1" t="inlineStr">
        <is>
          <t>Hora Almuerzo</t>
        </is>
      </c>
      <c r="D17" s="1" t="inlineStr">
        <is>
          <t xml:space="preserve"> Jue 01 </t>
        </is>
      </c>
      <c r="E17" s="1" t="inlineStr">
        <is>
          <t xml:space="preserve"> Vie 02 </t>
        </is>
      </c>
      <c r="F17" s="2" t="inlineStr">
        <is>
          <t xml:space="preserve"> Sáb 03 </t>
        </is>
      </c>
      <c r="G17" s="2" t="inlineStr">
        <is>
          <t xml:space="preserve"> Dom 04 </t>
        </is>
      </c>
      <c r="H17" s="1" t="inlineStr">
        <is>
          <t xml:space="preserve"> Lun 05 </t>
        </is>
      </c>
      <c r="I17" s="1" t="inlineStr">
        <is>
          <t xml:space="preserve"> Mar 06 </t>
        </is>
      </c>
      <c r="J17" s="1" t="inlineStr">
        <is>
          <t xml:space="preserve"> Mié 07 </t>
        </is>
      </c>
      <c r="K17" s="1" t="inlineStr">
        <is>
          <t xml:space="preserve"> Jue 08 </t>
        </is>
      </c>
      <c r="L17" s="1" t="inlineStr">
        <is>
          <t xml:space="preserve"> Vie 09 </t>
        </is>
      </c>
      <c r="M17" s="2" t="inlineStr">
        <is>
          <t xml:space="preserve"> Sáb 10 </t>
        </is>
      </c>
      <c r="N17" s="2" t="inlineStr">
        <is>
          <t xml:space="preserve"> Dom 11 </t>
        </is>
      </c>
      <c r="O17" s="3" t="inlineStr">
        <is>
          <t xml:space="preserve"> Lun 12 </t>
        </is>
      </c>
      <c r="P17" s="1" t="inlineStr">
        <is>
          <t xml:space="preserve"> Mar 13 </t>
        </is>
      </c>
      <c r="Q17" s="1" t="inlineStr">
        <is>
          <t xml:space="preserve"> Mié 14 </t>
        </is>
      </c>
      <c r="R17" s="1" t="inlineStr">
        <is>
          <t xml:space="preserve"> Jue 15 </t>
        </is>
      </c>
      <c r="S17" s="1" t="inlineStr">
        <is>
          <t xml:space="preserve"> Vie 16 </t>
        </is>
      </c>
      <c r="T17" s="2" t="inlineStr">
        <is>
          <t xml:space="preserve"> Sáb 17 </t>
        </is>
      </c>
      <c r="U17" s="2" t="inlineStr">
        <is>
          <t xml:space="preserve"> Dom 18 </t>
        </is>
      </c>
      <c r="V17" s="1" t="inlineStr">
        <is>
          <t xml:space="preserve"> Lun 19 </t>
        </is>
      </c>
      <c r="W17" s="1" t="inlineStr">
        <is>
          <t xml:space="preserve"> Mar 20 </t>
        </is>
      </c>
      <c r="X17" s="1" t="inlineStr">
        <is>
          <t xml:space="preserve"> Mié 21 </t>
        </is>
      </c>
      <c r="Y17" s="1" t="inlineStr">
        <is>
          <t xml:space="preserve"> Jue 22 </t>
        </is>
      </c>
      <c r="Z17" s="1" t="inlineStr">
        <is>
          <t xml:space="preserve"> Vie 23 </t>
        </is>
      </c>
      <c r="AA17" s="2" t="inlineStr">
        <is>
          <t xml:space="preserve"> Sáb 24 </t>
        </is>
      </c>
      <c r="AB17" s="2" t="inlineStr">
        <is>
          <t xml:space="preserve"> Dom 25 </t>
        </is>
      </c>
      <c r="AC17" s="1" t="inlineStr">
        <is>
          <t xml:space="preserve"> Lun 26 </t>
        </is>
      </c>
      <c r="AD17" s="1" t="inlineStr">
        <is>
          <t xml:space="preserve"> Mar 27 </t>
        </is>
      </c>
      <c r="AE17" s="1" t="inlineStr">
        <is>
          <t xml:space="preserve"> Mié 28 </t>
        </is>
      </c>
      <c r="AF17" s="1" t="inlineStr">
        <is>
          <t xml:space="preserve"> Jue 29 </t>
        </is>
      </c>
      <c r="AG17" s="1" t="inlineStr">
        <is>
          <t xml:space="preserve"> Vie 30 </t>
        </is>
      </c>
      <c r="AH17" s="2" t="inlineStr">
        <is>
          <t xml:space="preserve"> Sáb 31 </t>
        </is>
      </c>
      <c r="AI17" s="1" t="inlineStr">
        <is>
          <t>Semana 1</t>
        </is>
      </c>
      <c r="AJ17" s="1" t="inlineStr">
        <is>
          <t>Semana 2</t>
        </is>
      </c>
      <c r="AK17" s="1" t="inlineStr">
        <is>
          <t>Semana 3</t>
        </is>
      </c>
      <c r="AL17" s="1" t="inlineStr">
        <is>
          <t>Semana 4</t>
        </is>
      </c>
      <c r="AM17" s="1" t="inlineStr">
        <is>
          <t>Semana 5</t>
        </is>
      </c>
      <c r="AN17" s="1" t="inlineStr">
        <is>
          <t>Total Horas Mes</t>
        </is>
      </c>
      <c r="AO17" s="1" t="inlineStr">
        <is>
          <t>Maximo consultas</t>
        </is>
      </c>
    </row>
    <row r="18" ht="15" customHeight="1">
      <c r="A18" s="9">
        <f>A2</f>
        <v/>
      </c>
      <c r="B18" s="5">
        <f>B2</f>
        <v/>
      </c>
      <c r="C18" s="5">
        <f>C2</f>
        <v/>
      </c>
      <c r="D18" s="5">
        <f>IF(D2="",0,IFERROR((TIMEVALUE(MID(D2,FIND("-",D2)+1,10))-TIMEVALUE(LEFT(D2,FIND("-",D2)-1)))*24-1,0))</f>
        <v/>
      </c>
      <c r="E18" s="5">
        <f>IF(E2="",0,IFERROR((TIMEVALUE(MID(E2,FIND("-",E2)+1,10))-TIMEVALUE(LEFT(E2,FIND("-",E2)-1)))*24-1,0))</f>
        <v/>
      </c>
      <c r="F18" s="5">
        <f>IF(F2="",0,IFERROR((TIMEVALUE(MID(F2,FIND("-",F2)+1,10))-TIMEVALUE(LEFT(F2,FIND("-",F2)-1)))*24,0))</f>
        <v/>
      </c>
      <c r="G18" s="5">
        <f>IF(G2="",0,IFERROR((TIMEVALUE(MID(G2,FIND("-",G2)+1,10))-TIMEVALUE(LEFT(G2,FIND("-",G2)-1)))*24-1,0))</f>
        <v/>
      </c>
      <c r="H18" s="5">
        <f>IF(H2="",0,IFERROR((TIMEVALUE(MID(H2,FIND("-",H2)+1,10))-TIMEVALUE(LEFT(H2,FIND("-",H2)-1)))*24-1,0))</f>
        <v/>
      </c>
      <c r="I18" s="5">
        <f>IF(I2="",0,IFERROR((TIMEVALUE(MID(I2,FIND("-",I2)+1,10))-TIMEVALUE(LEFT(I2,FIND("-",I2)-1)))*24-1,0))</f>
        <v/>
      </c>
      <c r="J18" s="5">
        <f>IF(J2="",0,IFERROR((TIMEVALUE(MID(J2,FIND("-",J2)+1,10))-TIMEVALUE(LEFT(J2,FIND("-",J2)-1)))*24-1,0))</f>
        <v/>
      </c>
      <c r="K18" s="5">
        <f>IF(K2="",0,IFERROR((TIMEVALUE(MID(K2,FIND("-",K2)+1,10))-TIMEVALUE(LEFT(K2,FIND("-",K2)-1)))*24-1,0))</f>
        <v/>
      </c>
      <c r="L18" s="5">
        <f>IF(L2="",0,IFERROR((TIMEVALUE(MID(L2,FIND("-",L2)+1,10))-TIMEVALUE(LEFT(L2,FIND("-",L2)-1)))*24-1,0))</f>
        <v/>
      </c>
      <c r="M18" s="5">
        <f>IF(M2="",0,IFERROR((TIMEVALUE(MID(M2,FIND("-",M2)+1,10))-TIMEVALUE(LEFT(M2,FIND("-",M2)-1)))*24,0))</f>
        <v/>
      </c>
      <c r="N18" s="5">
        <f>IF(N2="",0,IFERROR((TIMEVALUE(MID(N2,FIND("-",N2)+1,10))-TIMEVALUE(LEFT(N2,FIND("-",N2)-1)))*24-1,0))</f>
        <v/>
      </c>
      <c r="O18" s="5">
        <f>IF(O2="",0,IFERROR((TIMEVALUE(MID(O2,FIND("-",O2)+1,10))-TIMEVALUE(LEFT(O2,FIND("-",O2)-1)))*24-1,0))</f>
        <v/>
      </c>
      <c r="P18" s="5">
        <f>IF(P2="",0,IFERROR((TIMEVALUE(MID(P2,FIND("-",P2)+1,10))-TIMEVALUE(LEFT(P2,FIND("-",P2)-1)))*24-1,0))</f>
        <v/>
      </c>
      <c r="Q18" s="5">
        <f>IF(Q2="",0,IFERROR((TIMEVALUE(MID(Q2,FIND("-",Q2)+1,10))-TIMEVALUE(LEFT(Q2,FIND("-",Q2)-1)))*24-1,0))</f>
        <v/>
      </c>
      <c r="R18" s="5">
        <f>IF(R2="",0,IFERROR((TIMEVALUE(MID(R2,FIND("-",R2)+1,10))-TIMEVALUE(LEFT(R2,FIND("-",R2)-1)))*24-1,0))</f>
        <v/>
      </c>
      <c r="S18" s="5">
        <f>IF(S2="",0,IFERROR((TIMEVALUE(MID(S2,FIND("-",S2)+1,10))-TIMEVALUE(LEFT(S2,FIND("-",S2)-1)))*24-1,0))</f>
        <v/>
      </c>
      <c r="T18" s="5">
        <f>IF(T2="",0,IFERROR((TIMEVALUE(MID(T2,FIND("-",T2)+1,10))-TIMEVALUE(LEFT(T2,FIND("-",T2)-1)))*24,0))</f>
        <v/>
      </c>
      <c r="U18" s="5">
        <f>IF(U2="",0,IFERROR((TIMEVALUE(MID(U2,FIND("-",U2)+1,10))-TIMEVALUE(LEFT(U2,FIND("-",U2)-1)))*24-1,0))</f>
        <v/>
      </c>
      <c r="V18" s="5">
        <f>IF(V2="",0,IFERROR((TIMEVALUE(MID(V2,FIND("-",V2)+1,10))-TIMEVALUE(LEFT(V2,FIND("-",V2)-1)))*24-1,0))</f>
        <v/>
      </c>
      <c r="W18" s="5">
        <f>IF(W2="",0,IFERROR((TIMEVALUE(MID(W2,FIND("-",W2)+1,10))-TIMEVALUE(LEFT(W2,FIND("-",W2)-1)))*24-1,0))</f>
        <v/>
      </c>
      <c r="X18" s="5">
        <f>IF(X2="",0,IFERROR((TIMEVALUE(MID(X2,FIND("-",X2)+1,10))-TIMEVALUE(LEFT(X2,FIND("-",X2)-1)))*24-1,0))</f>
        <v/>
      </c>
      <c r="Y18" s="5">
        <f>IF(Y2="",0,IFERROR((TIMEVALUE(MID(Y2,FIND("-",Y2)+1,10))-TIMEVALUE(LEFT(Y2,FIND("-",Y2)-1)))*24-1,0))</f>
        <v/>
      </c>
      <c r="Z18" s="5">
        <f>IF(Z2="",0,IFERROR((TIMEVALUE(MID(Z2,FIND("-",Z2)+1,10))-TIMEVALUE(LEFT(Z2,FIND("-",Z2)-1)))*24-1,0))</f>
        <v/>
      </c>
      <c r="AA18" s="5">
        <f>IF(AA2="",0,IFERROR((TIMEVALUE(MID(AA2,FIND("-",AA2)+1,10))-TIMEVALUE(LEFT(AA2,FIND("-",AA2)-1)))*24,0))</f>
        <v/>
      </c>
      <c r="AB18" s="5">
        <f>IF(AB2="",0,IFERROR((TIMEVALUE(MID(AB2,FIND("-",AB2)+1,10))-TIMEVALUE(LEFT(AB2,FIND("-",AB2)-1)))*24-1,0))</f>
        <v/>
      </c>
      <c r="AC18" s="5">
        <f>IF(AC2="",0,IFERROR((TIMEVALUE(MID(AC2,FIND("-",AC2)+1,10))-TIMEVALUE(LEFT(AC2,FIND("-",AC2)-1)))*24-1,0))</f>
        <v/>
      </c>
      <c r="AD18" s="5">
        <f>IF(AD2="",0,IFERROR((TIMEVALUE(MID(AD2,FIND("-",AD2)+1,10))-TIMEVALUE(LEFT(AD2,FIND("-",AD2)-1)))*24-1,0))</f>
        <v/>
      </c>
      <c r="AE18" s="5">
        <f>IF(AE2="",0,IFERROR((TIMEVALUE(MID(AE2,FIND("-",AE2)+1,10))-TIMEVALUE(LEFT(AE2,FIND("-",AE2)-1)))*24-1,0))</f>
        <v/>
      </c>
      <c r="AF18" s="5">
        <f>IF(AF2="",0,IFERROR((TIMEVALUE(MID(AF2,FIND("-",AF2)+1,10))-TIMEVALUE(LEFT(AF2,FIND("-",AF2)-1)))*24-1,0))</f>
        <v/>
      </c>
      <c r="AG18" s="5">
        <f>IF(AG2="",0,IFERROR((TIMEVALUE(MID(AG2,FIND("-",AG2)+1,10))-TIMEVALUE(LEFT(AG2,FIND("-",AG2)-1)))*24-1,0))</f>
        <v/>
      </c>
      <c r="AH18" s="5">
        <f>IF(AH2="",0,IFERROR((TIMEVALUE(MID(AH2,FIND("-",AH2)+1,10))-TIMEVALUE(LEFT(AH2,FIND("-",AH2)-1)))*24,0))</f>
        <v/>
      </c>
      <c r="AI18" s="5">
        <f>SUM(D18:F18)</f>
        <v/>
      </c>
      <c r="AJ18" s="5">
        <f>SUM(H18:M18)</f>
        <v/>
      </c>
      <c r="AK18" s="5">
        <f>SUM(O18:T18)</f>
        <v/>
      </c>
      <c r="AL18" s="5">
        <f>SUM(V18:AA18)</f>
        <v/>
      </c>
      <c r="AM18" s="5">
        <f>SUM(AC18:AH18)</f>
        <v/>
      </c>
      <c r="AN18" s="5">
        <f>SUM(AI18:AM18)</f>
        <v/>
      </c>
      <c r="AO18" s="5">
        <f>AN18*2</f>
        <v/>
      </c>
    </row>
    <row r="19" ht="15" customHeight="1">
      <c r="A19" s="9">
        <f>A3</f>
        <v/>
      </c>
      <c r="B19" s="5">
        <f>B3</f>
        <v/>
      </c>
      <c r="C19" s="5">
        <f>C3</f>
        <v/>
      </c>
      <c r="D19" s="5">
        <f>IF(D3="",0,IFERROR((TIMEVALUE(MID(D3,FIND("-",D3)+1,10))-TIMEVALUE(LEFT(D3,FIND("-",D3)-1)))*24,0))</f>
        <v/>
      </c>
      <c r="E19" s="5">
        <f>IF(E3="",0,IFERROR((TIMEVALUE(MID(E3,FIND("-",E3)+1,10))-TIMEVALUE(LEFT(E3,FIND("-",E3)-1)))*24,0))</f>
        <v/>
      </c>
      <c r="F19" s="5">
        <f>IF(F3="",0,IFERROR((TIMEVALUE(MID(F3,FIND("-",F3)+1,10))-TIMEVALUE(LEFT(F3,FIND("-",F3)-1)))*24,0))</f>
        <v/>
      </c>
      <c r="G19" s="5">
        <f>IF(G3="",0,IFERROR((TIMEVALUE(MID(G3,FIND("-",G3)+1,10))-TIMEVALUE(LEFT(G3,FIND("-",G3)-1)))*24,0))</f>
        <v/>
      </c>
      <c r="H19" s="5">
        <f>IF(H3="",0,IFERROR((TIMEVALUE(MID(H3,FIND("-",H3)+1,10))-TIMEVALUE(LEFT(H3,FIND("-",H3)-1)))*24,0))</f>
        <v/>
      </c>
      <c r="I19" s="5">
        <f>IF(I3="",0,IFERROR((TIMEVALUE(MID(I3,FIND("-",I3)+1,10))-TIMEVALUE(LEFT(I3,FIND("-",I3)-1)))*24,0))</f>
        <v/>
      </c>
      <c r="J19" s="5">
        <f>IF(J3="",0,IFERROR((TIMEVALUE(MID(J3,FIND("-",J3)+1,10))-TIMEVALUE(LEFT(J3,FIND("-",J3)-1)))*24,0))</f>
        <v/>
      </c>
      <c r="K19" s="5">
        <f>IF(K3="",0,IFERROR((TIMEVALUE(MID(K3,FIND("-",K3)+1,10))-TIMEVALUE(LEFT(K3,FIND("-",K3)-1)))*24,0))</f>
        <v/>
      </c>
      <c r="L19" s="5">
        <f>IF(L3="",0,IFERROR((TIMEVALUE(MID(L3,FIND("-",L3)+1,10))-TIMEVALUE(LEFT(L3,FIND("-",L3)-1)))*24,0))</f>
        <v/>
      </c>
      <c r="M19" s="5">
        <f>IF(M3="",0,IFERROR((TIMEVALUE(MID(M3,FIND("-",M3)+1,10))-TIMEVALUE(LEFT(M3,FIND("-",M3)-1)))*24,0))</f>
        <v/>
      </c>
      <c r="N19" s="5">
        <f>IF(N3="",0,IFERROR((TIMEVALUE(MID(N3,FIND("-",N3)+1,10))-TIMEVALUE(LEFT(N3,FIND("-",N3)-1)))*24,0))</f>
        <v/>
      </c>
      <c r="O19" s="5">
        <f>IF(O3="",0,IFERROR((TIMEVALUE(MID(O3,FIND("-",O3)+1,10))-TIMEVALUE(LEFT(O3,FIND("-",O3)-1)))*24,0))</f>
        <v/>
      </c>
      <c r="P19" s="5">
        <f>IF(P3="",0,IFERROR((TIMEVALUE(MID(P3,FIND("-",P3)+1,10))-TIMEVALUE(LEFT(P3,FIND("-",P3)-1)))*24,0))</f>
        <v/>
      </c>
      <c r="Q19" s="5">
        <f>IF(Q3="",0,IFERROR((TIMEVALUE(MID(Q3,FIND("-",Q3)+1,10))-TIMEVALUE(LEFT(Q3,FIND("-",Q3)-1)))*24,0))</f>
        <v/>
      </c>
      <c r="R19" s="5">
        <f>IF(R3="",0,IFERROR((TIMEVALUE(MID(R3,FIND("-",R3)+1,10))-TIMEVALUE(LEFT(R3,FIND("-",R3)-1)))*24,0))</f>
        <v/>
      </c>
      <c r="S19" s="5">
        <f>IF(S3="",0,IFERROR((TIMEVALUE(MID(S3,FIND("-",S3)+1,10))-TIMEVALUE(LEFT(S3,FIND("-",S3)-1)))*24,0))</f>
        <v/>
      </c>
      <c r="T19" s="5">
        <f>IF(T3="",0,IFERROR((TIMEVALUE(MID(T3,FIND("-",T3)+1,10))-TIMEVALUE(LEFT(T3,FIND("-",T3)-1)))*24,0))</f>
        <v/>
      </c>
      <c r="U19" s="5">
        <f>IF(U3="",0,IFERROR((TIMEVALUE(MID(U3,FIND("-",U3)+1,10))-TIMEVALUE(LEFT(U3,FIND("-",U3)-1)))*24,0))</f>
        <v/>
      </c>
      <c r="V19" s="5">
        <f>IF(V3="",0,IFERROR((TIMEVALUE(MID(V3,FIND("-",V3)+1,10))-TIMEVALUE(LEFT(V3,FIND("-",V3)-1)))*24,0))</f>
        <v/>
      </c>
      <c r="W19" s="5">
        <f>IF(W3="",0,IFERROR((TIMEVALUE(MID(W3,FIND("-",W3)+1,10))-TIMEVALUE(LEFT(W3,FIND("-",W3)-1)))*24,0))</f>
        <v/>
      </c>
      <c r="X19" s="5">
        <f>IF(X3="",0,IFERROR((TIMEVALUE(MID(X3,FIND("-",X3)+1,10))-TIMEVALUE(LEFT(X3,FIND("-",X3)-1)))*24,0))</f>
        <v/>
      </c>
      <c r="Y19" s="5">
        <f>IF(Y3="",0,IFERROR((TIMEVALUE(MID(Y3,FIND("-",Y3)+1,10))-TIMEVALUE(LEFT(Y3,FIND("-",Y3)-1)))*24,0))</f>
        <v/>
      </c>
      <c r="Z19" s="5">
        <f>IF(Z3="",0,IFERROR((TIMEVALUE(MID(Z3,FIND("-",Z3)+1,10))-TIMEVALUE(LEFT(Z3,FIND("-",Z3)-1)))*24,0))</f>
        <v/>
      </c>
      <c r="AA19" s="5">
        <f>IF(AA3="",0,IFERROR((TIMEVALUE(MID(AA3,FIND("-",AA3)+1,10))-TIMEVALUE(LEFT(AA3,FIND("-",AA3)-1)))*24,0))</f>
        <v/>
      </c>
      <c r="AB19" s="5">
        <f>IF(AB3="",0,IFERROR((TIMEVALUE(MID(AB3,FIND("-",AB3)+1,10))-TIMEVALUE(LEFT(AB3,FIND("-",AB3)-1)))*24,0))</f>
        <v/>
      </c>
      <c r="AC19" s="5">
        <f>IF(AC3="",0,IFERROR((TIMEVALUE(MID(AC3,FIND("-",AC3)+1,10))-TIMEVALUE(LEFT(AC3,FIND("-",AC3)-1)))*24,0))</f>
        <v/>
      </c>
      <c r="AD19" s="5">
        <f>IF(AD3="",0,IFERROR((TIMEVALUE(MID(AD3,FIND("-",AD3)+1,10))-TIMEVALUE(LEFT(AD3,FIND("-",AD3)-1)))*24,0))</f>
        <v/>
      </c>
      <c r="AE19" s="5">
        <f>IF(AE3="",0,IFERROR((TIMEVALUE(MID(AE3,FIND("-",AE3)+1,10))-TIMEVALUE(LEFT(AE3,FIND("-",AE3)-1)))*24,0))</f>
        <v/>
      </c>
      <c r="AF19" s="5">
        <f>IF(AF3="",0,IFERROR((TIMEVALUE(MID(AF3,FIND("-",AF3)+1,10))-TIMEVALUE(LEFT(AF3,FIND("-",AF3)-1)))*24,0))</f>
        <v/>
      </c>
      <c r="AG19" s="5">
        <f>IF(AG3="",0,IFERROR((TIMEVALUE(MID(AG3,FIND("-",AG3)+1,10))-TIMEVALUE(LEFT(AG3,FIND("-",AG3)-1)))*24,0))</f>
        <v/>
      </c>
      <c r="AH19" s="5">
        <f>IF(AH3="",0,IFERROR((TIMEVALUE(MID(AH3,FIND("-",AH3)+1,10))-TIMEVALUE(LEFT(AH3,FIND("-",AH3)-1)))*24,0))</f>
        <v/>
      </c>
      <c r="AI19" s="5">
        <f>SUM(D19:F19)</f>
        <v/>
      </c>
      <c r="AJ19" s="5">
        <f>SUM(H19:M19)</f>
        <v/>
      </c>
      <c r="AK19" s="5">
        <f>SUM(O19:T19)</f>
        <v/>
      </c>
      <c r="AL19" s="5">
        <f>SUM(V19:AA19)</f>
        <v/>
      </c>
      <c r="AM19" s="5">
        <f>SUM(AC19:AH19)</f>
        <v/>
      </c>
      <c r="AN19" s="5">
        <f>SUM(AI19:AM19)</f>
        <v/>
      </c>
      <c r="AO19" s="5">
        <f>AN19*2</f>
        <v/>
      </c>
    </row>
    <row r="20" ht="15" customHeight="1">
      <c r="A20" s="9">
        <f>A4</f>
        <v/>
      </c>
      <c r="B20" s="5">
        <f>B4</f>
        <v/>
      </c>
      <c r="C20" s="5">
        <f>C4</f>
        <v/>
      </c>
      <c r="D20" s="5">
        <f>IF(D4="",0,IFERROR((TIMEVALUE(MID(D4,FIND("-",D4)+1,10))-TIMEVALUE(LEFT(D4,FIND("-",D4)-1)))*24-1,0))</f>
        <v/>
      </c>
      <c r="E20" s="5">
        <f>IF(E4="",0,IFERROR((TIMEVALUE(MID(E4,FIND("-",E4)+1,10))-TIMEVALUE(LEFT(E4,FIND("-",E4)-1)))*24-1,0))</f>
        <v/>
      </c>
      <c r="F20" s="5">
        <f>IF(F4="",0,IFERROR((TIMEVALUE(MID(F4,FIND("-",F4)+1,10))-TIMEVALUE(LEFT(F4,FIND("-",F4)-1)))*24,0))</f>
        <v/>
      </c>
      <c r="G20" s="5">
        <f>IF(G4="",0,IFERROR((TIMEVALUE(MID(G4,FIND("-",G4)+1,10))-TIMEVALUE(LEFT(G4,FIND("-",G4)-1)))*24-1,0))</f>
        <v/>
      </c>
      <c r="H20" s="5">
        <f>IF(H4="",0,IFERROR((TIMEVALUE(MID(H4,FIND("-",H4)+1,10))-TIMEVALUE(LEFT(H4,FIND("-",H4)-1)))*24-1,0))</f>
        <v/>
      </c>
      <c r="I20" s="5">
        <f>IF(I4="",0,IFERROR((TIMEVALUE(MID(I4,FIND("-",I4)+1,10))-TIMEVALUE(LEFT(I4,FIND("-",I4)-1)))*24-1,0))</f>
        <v/>
      </c>
      <c r="J20" s="5">
        <f>IF(J4="",0,IFERROR((TIMEVALUE(MID(J4,FIND("-",J4)+1,10))-TIMEVALUE(LEFT(J4,FIND("-",J4)-1)))*24-1,0))</f>
        <v/>
      </c>
      <c r="K20" s="5">
        <f>IF(K4="",0,IFERROR((TIMEVALUE(MID(K4,FIND("-",K4)+1,10))-TIMEVALUE(LEFT(K4,FIND("-",K4)-1)))*24-1,0))</f>
        <v/>
      </c>
      <c r="L20" s="5">
        <f>IF(L4="",0,IFERROR((TIMEVALUE(MID(L4,FIND("-",L4)+1,10))-TIMEVALUE(LEFT(L4,FIND("-",L4)-1)))*24-1,0))</f>
        <v/>
      </c>
      <c r="M20" s="5">
        <f>IF(M4="",0,IFERROR((TIMEVALUE(MID(M4,FIND("-",M4)+1,10))-TIMEVALUE(LEFT(M4,FIND("-",M4)-1)))*24,0))</f>
        <v/>
      </c>
      <c r="N20" s="5">
        <f>IF(N4="",0,IFERROR((TIMEVALUE(MID(N4,FIND("-",N4)+1,10))-TIMEVALUE(LEFT(N4,FIND("-",N4)-1)))*24-1,0))</f>
        <v/>
      </c>
      <c r="O20" s="5">
        <f>IF(O4="",0,IFERROR((TIMEVALUE(MID(O4,FIND("-",O4)+1,10))-TIMEVALUE(LEFT(O4,FIND("-",O4)-1)))*24-1,0))</f>
        <v/>
      </c>
      <c r="P20" s="5">
        <f>IF(P4="",0,IFERROR((TIMEVALUE(MID(P4,FIND("-",P4)+1,10))-TIMEVALUE(LEFT(P4,FIND("-",P4)-1)))*24-1,0))</f>
        <v/>
      </c>
      <c r="Q20" s="5">
        <f>IF(Q4="",0,IFERROR((TIMEVALUE(MID(Q4,FIND("-",Q4)+1,10))-TIMEVALUE(LEFT(Q4,FIND("-",Q4)-1)))*24-1,0))</f>
        <v/>
      </c>
      <c r="R20" s="5">
        <f>IF(R4="",0,IFERROR((TIMEVALUE(MID(R4,FIND("-",R4)+1,10))-TIMEVALUE(LEFT(R4,FIND("-",R4)-1)))*24-1,0))</f>
        <v/>
      </c>
      <c r="S20" s="5">
        <f>IF(S4="",0,IFERROR((TIMEVALUE(MID(S4,FIND("-",S4)+1,10))-TIMEVALUE(LEFT(S4,FIND("-",S4)-1)))*24-1,0))</f>
        <v/>
      </c>
      <c r="T20" s="5">
        <f>IF(T4="",0,IFERROR((TIMEVALUE(MID(T4,FIND("-",T4)+1,10))-TIMEVALUE(LEFT(T4,FIND("-",T4)-1)))*24,0))</f>
        <v/>
      </c>
      <c r="U20" s="5">
        <f>IF(U4="",0,IFERROR((TIMEVALUE(MID(U4,FIND("-",U4)+1,10))-TIMEVALUE(LEFT(U4,FIND("-",U4)-1)))*24-1,0))</f>
        <v/>
      </c>
      <c r="V20" s="5">
        <f>IF(V4="",0,IFERROR((TIMEVALUE(MID(V4,FIND("-",V4)+1,10))-TIMEVALUE(LEFT(V4,FIND("-",V4)-1)))*24-1,0))</f>
        <v/>
      </c>
      <c r="W20" s="5">
        <f>IF(W4="",0,IFERROR((TIMEVALUE(MID(W4,FIND("-",W4)+1,10))-TIMEVALUE(LEFT(W4,FIND("-",W4)-1)))*24-1,0))</f>
        <v/>
      </c>
      <c r="X20" s="5">
        <f>IF(X4="",0,IFERROR((TIMEVALUE(MID(X4,FIND("-",X4)+1,10))-TIMEVALUE(LEFT(X4,FIND("-",X4)-1)))*24-1,0))</f>
        <v/>
      </c>
      <c r="Y20" s="5">
        <f>IF(Y4="",0,IFERROR((TIMEVALUE(MID(Y4,FIND("-",Y4)+1,10))-TIMEVALUE(LEFT(Y4,FIND("-",Y4)-1)))*24-1,0))</f>
        <v/>
      </c>
      <c r="Z20" s="5">
        <f>IF(Z4="",0,IFERROR((TIMEVALUE(MID(Z4,FIND("-",Z4)+1,10))-TIMEVALUE(LEFT(Z4,FIND("-",Z4)-1)))*24-1,0))</f>
        <v/>
      </c>
      <c r="AA20" s="5">
        <f>IF(AA4="",0,IFERROR((TIMEVALUE(MID(AA4,FIND("-",AA4)+1,10))-TIMEVALUE(LEFT(AA4,FIND("-",AA4)-1)))*24,0))</f>
        <v/>
      </c>
      <c r="AB20" s="5">
        <f>IF(AB4="",0,IFERROR((TIMEVALUE(MID(AB4,FIND("-",AB4)+1,10))-TIMEVALUE(LEFT(AB4,FIND("-",AB4)-1)))*24-1,0))</f>
        <v/>
      </c>
      <c r="AC20" s="5">
        <f>IF(AC4="",0,IFERROR((TIMEVALUE(MID(AC4,FIND("-",AC4)+1,10))-TIMEVALUE(LEFT(AC4,FIND("-",AC4)-1)))*24-1,0))</f>
        <v/>
      </c>
      <c r="AD20" s="5">
        <f>IF(AD4="",0,IFERROR((TIMEVALUE(MID(AD4,FIND("-",AD4)+1,10))-TIMEVALUE(LEFT(AD4,FIND("-",AD4)-1)))*24-1,0))</f>
        <v/>
      </c>
      <c r="AE20" s="5">
        <f>IF(AE4="",0,IFERROR((TIMEVALUE(MID(AE4,FIND("-",AE4)+1,10))-TIMEVALUE(LEFT(AE4,FIND("-",AE4)-1)))*24-1,0))</f>
        <v/>
      </c>
      <c r="AF20" s="5">
        <f>IF(AF4="",0,IFERROR((TIMEVALUE(MID(AF4,FIND("-",AF4)+1,10))-TIMEVALUE(LEFT(AF4,FIND("-",AF4)-1)))*24-1,0))</f>
        <v/>
      </c>
      <c r="AG20" s="5">
        <f>IF(AG4="",0,IFERROR((TIMEVALUE(MID(AG4,FIND("-",AG4)+1,10))-TIMEVALUE(LEFT(AG4,FIND("-",AG4)-1)))*24-1,0))</f>
        <v/>
      </c>
      <c r="AH20" s="5">
        <f>IF(AH4="",0,IFERROR((TIMEVALUE(MID(AH4,FIND("-",AH4)+1,10))-TIMEVALUE(LEFT(AH4,FIND("-",AH4)-1)))*24,0))</f>
        <v/>
      </c>
      <c r="AI20" s="5">
        <f>SUM(D20:F20)</f>
        <v/>
      </c>
      <c r="AJ20" s="5">
        <f>SUM(H20:M20)</f>
        <v/>
      </c>
      <c r="AK20" s="5">
        <f>SUM(O20:T20)</f>
        <v/>
      </c>
      <c r="AL20" s="5">
        <f>SUM(V20:AA20)</f>
        <v/>
      </c>
      <c r="AM20" s="5">
        <f>SUM(AC20:AH20)</f>
        <v/>
      </c>
      <c r="AN20" s="5">
        <f>SUM(AI20:AM20)</f>
        <v/>
      </c>
      <c r="AO20" s="5">
        <f>AN20*2</f>
        <v/>
      </c>
    </row>
    <row r="21" ht="15" customHeight="1">
      <c r="A21" s="9">
        <f>A5</f>
        <v/>
      </c>
      <c r="B21" s="5">
        <f>B5</f>
        <v/>
      </c>
      <c r="C21" s="5">
        <f>C5</f>
        <v/>
      </c>
      <c r="D21" s="5">
        <f>IF(D5="",0,IFERROR((TIMEVALUE(MID(D5,FIND("-",D5)+1,10))-TIMEVALUE(LEFT(D5,FIND("-",D5)-1)))*24-1,0))</f>
        <v/>
      </c>
      <c r="E21" s="5">
        <f>IF(E5="",0,IFERROR((TIMEVALUE(MID(E5,FIND("-",E5)+1,10))-TIMEVALUE(LEFT(E5,FIND("-",E5)-1)))*24-1,0))</f>
        <v/>
      </c>
      <c r="F21" s="5">
        <f>IF(F5="",0,IFERROR((TIMEVALUE(MID(F5,FIND("-",F5)+1,10))-TIMEVALUE(LEFT(F5,FIND("-",F5)-1)))*24,0))</f>
        <v/>
      </c>
      <c r="G21" s="5">
        <f>IF(G5="",0,IFERROR((TIMEVALUE(MID(G5,FIND("-",G5)+1,10))-TIMEVALUE(LEFT(G5,FIND("-",G5)-1)))*24-1,0))</f>
        <v/>
      </c>
      <c r="H21" s="5">
        <f>IF(H5="",0,IFERROR((TIMEVALUE(MID(H5,FIND("-",H5)+1,10))-TIMEVALUE(LEFT(H5,FIND("-",H5)-1)))*24-1,0))</f>
        <v/>
      </c>
      <c r="I21" s="5">
        <f>IF(I5="",0,IFERROR((TIMEVALUE(MID(I5,FIND("-",I5)+1,10))-TIMEVALUE(LEFT(I5,FIND("-",I5)-1)))*24-1,0))</f>
        <v/>
      </c>
      <c r="J21" s="5">
        <f>IF(J5="",0,IFERROR((TIMEVALUE(MID(J5,FIND("-",J5)+1,10))-TIMEVALUE(LEFT(J5,FIND("-",J5)-1)))*24-1,0))</f>
        <v/>
      </c>
      <c r="K21" s="5">
        <f>IF(K5="",0,IFERROR((TIMEVALUE(MID(K5,FIND("-",K5)+1,10))-TIMEVALUE(LEFT(K5,FIND("-",K5)-1)))*24-1,0))</f>
        <v/>
      </c>
      <c r="L21" s="5">
        <f>IF(L5="",0,IFERROR((TIMEVALUE(MID(L5,FIND("-",L5)+1,10))-TIMEVALUE(LEFT(L5,FIND("-",L5)-1)))*24-1,0))</f>
        <v/>
      </c>
      <c r="M21" s="5">
        <f>IF(M5="",0,IFERROR((TIMEVALUE(MID(M5,FIND("-",M5)+1,10))-TIMEVALUE(LEFT(M5,FIND("-",M5)-1)))*24,0))</f>
        <v/>
      </c>
      <c r="N21" s="5">
        <f>IF(N5="",0,IFERROR((TIMEVALUE(MID(N5,FIND("-",N5)+1,10))-TIMEVALUE(LEFT(N5,FIND("-",N5)-1)))*24-1,0))</f>
        <v/>
      </c>
      <c r="O21" s="5">
        <f>IF(O5="",0,IFERROR((TIMEVALUE(MID(O5,FIND("-",O5)+1,10))-TIMEVALUE(LEFT(O5,FIND("-",O5)-1)))*24-1,0))</f>
        <v/>
      </c>
      <c r="P21" s="5">
        <f>IF(P5="",0,IFERROR((TIMEVALUE(MID(P5,FIND("-",P5)+1,10))-TIMEVALUE(LEFT(P5,FIND("-",P5)-1)))*24-1,0))</f>
        <v/>
      </c>
      <c r="Q21" s="5">
        <f>IF(Q5="",0,IFERROR((TIMEVALUE(MID(Q5,FIND("-",Q5)+1,10))-TIMEVALUE(LEFT(Q5,FIND("-",Q5)-1)))*24-1,0))</f>
        <v/>
      </c>
      <c r="R21" s="5">
        <f>IF(R5="",0,IFERROR((TIMEVALUE(MID(R5,FIND("-",R5)+1,10))-TIMEVALUE(LEFT(R5,FIND("-",R5)-1)))*24-1,0))</f>
        <v/>
      </c>
      <c r="S21" s="5">
        <f>IF(S5="",0,IFERROR((TIMEVALUE(MID(S5,FIND("-",S5)+1,10))-TIMEVALUE(LEFT(S5,FIND("-",S5)-1)))*24-1,0))</f>
        <v/>
      </c>
      <c r="T21" s="5">
        <f>IF(T5="",0,IFERROR((TIMEVALUE(MID(T5,FIND("-",T5)+1,10))-TIMEVALUE(LEFT(T5,FIND("-",T5)-1)))*24,0))</f>
        <v/>
      </c>
      <c r="U21" s="5">
        <f>IF(U5="",0,IFERROR((TIMEVALUE(MID(U5,FIND("-",U5)+1,10))-TIMEVALUE(LEFT(U5,FIND("-",U5)-1)))*24-1,0))</f>
        <v/>
      </c>
      <c r="V21" s="5">
        <f>IF(V5="",0,IFERROR((TIMEVALUE(MID(V5,FIND("-",V5)+1,10))-TIMEVALUE(LEFT(V5,FIND("-",V5)-1)))*24-1,0))</f>
        <v/>
      </c>
      <c r="W21" s="5">
        <f>IF(W5="",0,IFERROR((TIMEVALUE(MID(W5,FIND("-",W5)+1,10))-TIMEVALUE(LEFT(W5,FIND("-",W5)-1)))*24-1,0))</f>
        <v/>
      </c>
      <c r="X21" s="5">
        <f>IF(X5="",0,IFERROR((TIMEVALUE(MID(X5,FIND("-",X5)+1,10))-TIMEVALUE(LEFT(X5,FIND("-",X5)-1)))*24-1,0))</f>
        <v/>
      </c>
      <c r="Y21" s="5">
        <f>IF(Y5="",0,IFERROR((TIMEVALUE(MID(Y5,FIND("-",Y5)+1,10))-TIMEVALUE(LEFT(Y5,FIND("-",Y5)-1)))*24-1,0))</f>
        <v/>
      </c>
      <c r="Z21" s="5">
        <f>IF(Z5="",0,IFERROR((TIMEVALUE(MID(Z5,FIND("-",Z5)+1,10))-TIMEVALUE(LEFT(Z5,FIND("-",Z5)-1)))*24-1,0))</f>
        <v/>
      </c>
      <c r="AA21" s="5">
        <f>IF(AA5="",0,IFERROR((TIMEVALUE(MID(AA5,FIND("-",AA5)+1,10))-TIMEVALUE(LEFT(AA5,FIND("-",AA5)-1)))*24,0))</f>
        <v/>
      </c>
      <c r="AB21" s="5">
        <f>IF(AB5="",0,IFERROR((TIMEVALUE(MID(AB5,FIND("-",AB5)+1,10))-TIMEVALUE(LEFT(AB5,FIND("-",AB5)-1)))*24-1,0))</f>
        <v/>
      </c>
      <c r="AC21" s="5">
        <f>IF(AC5="",0,IFERROR((TIMEVALUE(MID(AC5,FIND("-",AC5)+1,10))-TIMEVALUE(LEFT(AC5,FIND("-",AC5)-1)))*24-1,0))</f>
        <v/>
      </c>
      <c r="AD21" s="5">
        <f>IF(AD5="",0,IFERROR((TIMEVALUE(MID(AD5,FIND("-",AD5)+1,10))-TIMEVALUE(LEFT(AD5,FIND("-",AD5)-1)))*24-1,0))</f>
        <v/>
      </c>
      <c r="AE21" s="5">
        <f>IF(AE5="",0,IFERROR((TIMEVALUE(MID(AE5,FIND("-",AE5)+1,10))-TIMEVALUE(LEFT(AE5,FIND("-",AE5)-1)))*24-1,0))</f>
        <v/>
      </c>
      <c r="AF21" s="5">
        <f>IF(AF5="",0,IFERROR((TIMEVALUE(MID(AF5,FIND("-",AF5)+1,10))-TIMEVALUE(LEFT(AF5,FIND("-",AF5)-1)))*24-1,0))</f>
        <v/>
      </c>
      <c r="AG21" s="5">
        <f>IF(AG5="",0,IFERROR((TIMEVALUE(MID(AG5,FIND("-",AG5)+1,10))-TIMEVALUE(LEFT(AG5,FIND("-",AG5)-1)))*24-1,0))</f>
        <v/>
      </c>
      <c r="AH21" s="5">
        <f>IF(AH5="",0,IFERROR((TIMEVALUE(MID(AH5,FIND("-",AH5)+1,10))-TIMEVALUE(LEFT(AH5,FIND("-",AH5)-1)))*24,0))</f>
        <v/>
      </c>
      <c r="AI21" s="5">
        <f>SUM(D21:F21)</f>
        <v/>
      </c>
      <c r="AJ21" s="5">
        <f>SUM(H21:M21)</f>
        <v/>
      </c>
      <c r="AK21" s="5">
        <f>SUM(O21:T21)</f>
        <v/>
      </c>
      <c r="AL21" s="5">
        <f>SUM(V21:AA21)</f>
        <v/>
      </c>
      <c r="AM21" s="5">
        <f>SUM(AC21:AH21)</f>
        <v/>
      </c>
      <c r="AN21" s="5">
        <f>SUM(AI21:AM21)</f>
        <v/>
      </c>
      <c r="AO21" s="5" t="inlineStr">
        <is>
          <t>N/A</t>
        </is>
      </c>
    </row>
    <row r="22" ht="15" customHeight="1">
      <c r="A22" s="9">
        <f>A6</f>
        <v/>
      </c>
      <c r="B22" s="5">
        <f>B6</f>
        <v/>
      </c>
      <c r="C22" s="5">
        <f>C6</f>
        <v/>
      </c>
      <c r="D22" s="5">
        <f>IF(D6="",0,IFERROR((TIMEVALUE(MID(D6,FIND("-",D6)+1,10))-TIMEVALUE(LEFT(D6,FIND("-",D6)-1)))*24-1,0))</f>
        <v/>
      </c>
      <c r="E22" s="5">
        <f>IF(E6="",0,IFERROR((TIMEVALUE(MID(E6,FIND("-",E6)+1,10))-TIMEVALUE(LEFT(E6,FIND("-",E6)-1)))*24-1,0))</f>
        <v/>
      </c>
      <c r="F22" s="5">
        <f>IF(F6="",0,IFERROR((TIMEVALUE(MID(F6,FIND("-",F6)+1,10))-TIMEVALUE(LEFT(F6,FIND("-",F6)-1)))*24,0))</f>
        <v/>
      </c>
      <c r="G22" s="5">
        <f>IF(G6="",0,IFERROR((TIMEVALUE(MID(G6,FIND("-",G6)+1,10))-TIMEVALUE(LEFT(G6,FIND("-",G6)-1)))*24-1,0))</f>
        <v/>
      </c>
      <c r="H22" s="5">
        <f>IF(H6="",0,IFERROR((TIMEVALUE(MID(H6,FIND("-",H6)+1,10))-TIMEVALUE(LEFT(H6,FIND("-",H6)-1)))*24-1,0))</f>
        <v/>
      </c>
      <c r="I22" s="5">
        <f>IF(I6="",0,IFERROR((TIMEVALUE(MID(I6,FIND("-",I6)+1,10))-TIMEVALUE(LEFT(I6,FIND("-",I6)-1)))*24-1,0))</f>
        <v/>
      </c>
      <c r="J22" s="5">
        <f>IF(J6="",0,IFERROR((TIMEVALUE(MID(J6,FIND("-",J6)+1,10))-TIMEVALUE(LEFT(J6,FIND("-",J6)-1)))*24-1,0))</f>
        <v/>
      </c>
      <c r="K22" s="5">
        <f>IF(K6="",0,IFERROR((TIMEVALUE(MID(K6,FIND("-",K6)+1,10))-TIMEVALUE(LEFT(K6,FIND("-",K6)-1)))*24-1,0))</f>
        <v/>
      </c>
      <c r="L22" s="5">
        <f>IF(L6="",0,IFERROR((TIMEVALUE(MID(L6,FIND("-",L6)+1,10))-TIMEVALUE(LEFT(L6,FIND("-",L6)-1)))*24-1,0))</f>
        <v/>
      </c>
      <c r="M22" s="5">
        <f>IF(M6="",0,IFERROR((TIMEVALUE(MID(M6,FIND("-",M6)+1,10))-TIMEVALUE(LEFT(M6,FIND("-",M6)-1)))*24,0))</f>
        <v/>
      </c>
      <c r="N22" s="5">
        <f>IF(N6="",0,IFERROR((TIMEVALUE(MID(N6,FIND("-",N6)+1,10))-TIMEVALUE(LEFT(N6,FIND("-",N6)-1)))*24-1,0))</f>
        <v/>
      </c>
      <c r="O22" s="5">
        <f>IF(O6="",0,IFERROR((TIMEVALUE(MID(O6,FIND("-",O6)+1,10))-TIMEVALUE(LEFT(O6,FIND("-",O6)-1)))*24-1,0))</f>
        <v/>
      </c>
      <c r="P22" s="5">
        <f>IF(P6="",0,IFERROR((TIMEVALUE(MID(P6,FIND("-",P6)+1,10))-TIMEVALUE(LEFT(P6,FIND("-",P6)-1)))*24-1,0))</f>
        <v/>
      </c>
      <c r="Q22" s="5">
        <f>IF(Q6="",0,IFERROR((TIMEVALUE(MID(Q6,FIND("-",Q6)+1,10))-TIMEVALUE(LEFT(Q6,FIND("-",Q6)-1)))*24-1,0))</f>
        <v/>
      </c>
      <c r="R22" s="5">
        <f>IF(R6="",0,IFERROR((TIMEVALUE(MID(R6,FIND("-",R6)+1,10))-TIMEVALUE(LEFT(R6,FIND("-",R6)-1)))*24-1,0))</f>
        <v/>
      </c>
      <c r="S22" s="5">
        <f>IF(S6="",0,IFERROR((TIMEVALUE(MID(S6,FIND("-",S6)+1,10))-TIMEVALUE(LEFT(S6,FIND("-",S6)-1)))*24-1,0))</f>
        <v/>
      </c>
      <c r="T22" s="5">
        <f>IF(T6="",0,IFERROR((TIMEVALUE(MID(T6,FIND("-",T6)+1,10))-TIMEVALUE(LEFT(T6,FIND("-",T6)-1)))*24,0))</f>
        <v/>
      </c>
      <c r="U22" s="5">
        <f>IF(U6="",0,IFERROR((TIMEVALUE(MID(U6,FIND("-",U6)+1,10))-TIMEVALUE(LEFT(U6,FIND("-",U6)-1)))*24-1,0))</f>
        <v/>
      </c>
      <c r="V22" s="5">
        <f>IF(V6="",0,IFERROR((TIMEVALUE(MID(V6,FIND("-",V6)+1,10))-TIMEVALUE(LEFT(V6,FIND("-",V6)-1)))*24-1,0))</f>
        <v/>
      </c>
      <c r="W22" s="5">
        <f>IF(W6="",0,IFERROR((TIMEVALUE(MID(W6,FIND("-",W6)+1,10))-TIMEVALUE(LEFT(W6,FIND("-",W6)-1)))*24-1,0))</f>
        <v/>
      </c>
      <c r="X22" s="5">
        <f>IF(X6="",0,IFERROR((TIMEVALUE(MID(X6,FIND("-",X6)+1,10))-TIMEVALUE(LEFT(X6,FIND("-",X6)-1)))*24-1,0))</f>
        <v/>
      </c>
      <c r="Y22" s="5">
        <f>IF(Y6="",0,IFERROR((TIMEVALUE(MID(Y6,FIND("-",Y6)+1,10))-TIMEVALUE(LEFT(Y6,FIND("-",Y6)-1)))*24-1,0))</f>
        <v/>
      </c>
      <c r="Z22" s="5">
        <f>IF(Z6="",0,IFERROR((TIMEVALUE(MID(Z6,FIND("-",Z6)+1,10))-TIMEVALUE(LEFT(Z6,FIND("-",Z6)-1)))*24-1,0))</f>
        <v/>
      </c>
      <c r="AA22" s="5">
        <f>IF(AA6="",0,IFERROR((TIMEVALUE(MID(AA6,FIND("-",AA6)+1,10))-TIMEVALUE(LEFT(AA6,FIND("-",AA6)-1)))*24,0))</f>
        <v/>
      </c>
      <c r="AB22" s="5">
        <f>IF(AB6="",0,IFERROR((TIMEVALUE(MID(AB6,FIND("-",AB6)+1,10))-TIMEVALUE(LEFT(AB6,FIND("-",AB6)-1)))*24-1,0))</f>
        <v/>
      </c>
      <c r="AC22" s="5">
        <f>IF(AC6="",0,IFERROR((TIMEVALUE(MID(AC6,FIND("-",AC6)+1,10))-TIMEVALUE(LEFT(AC6,FIND("-",AC6)-1)))*24-1,0))</f>
        <v/>
      </c>
      <c r="AD22" s="5">
        <f>IF(AD6="",0,IFERROR((TIMEVALUE(MID(AD6,FIND("-",AD6)+1,10))-TIMEVALUE(LEFT(AD6,FIND("-",AD6)-1)))*24-1,0))</f>
        <v/>
      </c>
      <c r="AE22" s="5">
        <f>IF(AE6="",0,IFERROR((TIMEVALUE(MID(AE6,FIND("-",AE6)+1,10))-TIMEVALUE(LEFT(AE6,FIND("-",AE6)-1)))*24-1,0))</f>
        <v/>
      </c>
      <c r="AF22" s="5">
        <f>IF(AF6="",0,IFERROR((TIMEVALUE(MID(AF6,FIND("-",AF6)+1,10))-TIMEVALUE(LEFT(AF6,FIND("-",AF6)-1)))*24-1,0))</f>
        <v/>
      </c>
      <c r="AG22" s="5">
        <f>IF(AG6="",0,IFERROR((TIMEVALUE(MID(AG6,FIND("-",AG6)+1,10))-TIMEVALUE(LEFT(AG6,FIND("-",AG6)-1)))*24-1,0))</f>
        <v/>
      </c>
      <c r="AH22" s="5">
        <f>IF(AH6="",0,IFERROR((TIMEVALUE(MID(AH6,FIND("-",AH6)+1,10))-TIMEVALUE(LEFT(AH6,FIND("-",AH6)-1)))*24,0))</f>
        <v/>
      </c>
      <c r="AI22" s="5">
        <f>SUM(D22:F22)</f>
        <v/>
      </c>
      <c r="AJ22" s="5">
        <f>SUM(H22:M22)</f>
        <v/>
      </c>
      <c r="AK22" s="5">
        <f>SUM(O22:T22)</f>
        <v/>
      </c>
      <c r="AL22" s="5">
        <f>SUM(V22:AA22)</f>
        <v/>
      </c>
      <c r="AM22" s="5">
        <f>SUM(AC22:AH22)</f>
        <v/>
      </c>
      <c r="AN22" s="5">
        <f>SUM(AI22:AM22)</f>
        <v/>
      </c>
      <c r="AO22" s="5" t="inlineStr">
        <is>
          <t>N/A</t>
        </is>
      </c>
    </row>
    <row r="23" ht="15" customHeight="1">
      <c r="A23" s="9">
        <f>A7</f>
        <v/>
      </c>
      <c r="B23" s="5">
        <f>B7</f>
        <v/>
      </c>
      <c r="C23" s="5">
        <f>C7</f>
        <v/>
      </c>
      <c r="D23" s="5">
        <f>IF(D7="",0,IFERROR((TIMEVALUE(MID(D7,FIND("-",D7)+1,10))-TIMEVALUE(LEFT(D7,FIND("-",D7)-1)))*24-1,0))</f>
        <v/>
      </c>
      <c r="E23" s="5">
        <f>IF(E7="",0,IFERROR((TIMEVALUE(MID(E7,FIND("-",E7)+1,10))-TIMEVALUE(LEFT(E7,FIND("-",E7)-1)))*24-1,0))</f>
        <v/>
      </c>
      <c r="F23" s="5">
        <f>IF(F7="",0,IFERROR((TIMEVALUE(MID(F7,FIND("-",F7)+1,10))-TIMEVALUE(LEFT(F7,FIND("-",F7)-1)))*24,0))</f>
        <v/>
      </c>
      <c r="G23" s="5">
        <f>IF(G7="",0,IFERROR((TIMEVALUE(MID(G7,FIND("-",G7)+1,10))-TIMEVALUE(LEFT(G7,FIND("-",G7)-1)))*24-1,0))</f>
        <v/>
      </c>
      <c r="H23" s="5">
        <f>IF(H7="",0,IFERROR((TIMEVALUE(MID(H7,FIND("-",H7)+1,10))-TIMEVALUE(LEFT(H7,FIND("-",H7)-1)))*24-1,0))</f>
        <v/>
      </c>
      <c r="I23" s="5">
        <f>IF(I7="",0,IFERROR((TIMEVALUE(MID(I7,FIND("-",I7)+1,10))-TIMEVALUE(LEFT(I7,FIND("-",I7)-1)))*24-1,0))</f>
        <v/>
      </c>
      <c r="J23" s="5">
        <f>IF(J7="",0,IFERROR((TIMEVALUE(MID(J7,FIND("-",J7)+1,10))-TIMEVALUE(LEFT(J7,FIND("-",J7)-1)))*24-1,0))</f>
        <v/>
      </c>
      <c r="K23" s="5">
        <f>IF(K7="",0,IFERROR((TIMEVALUE(MID(K7,FIND("-",K7)+1,10))-TIMEVALUE(LEFT(K7,FIND("-",K7)-1)))*24-1,0))</f>
        <v/>
      </c>
      <c r="L23" s="5">
        <f>IF(L7="",0,IFERROR((TIMEVALUE(MID(L7,FIND("-",L7)+1,10))-TIMEVALUE(LEFT(L7,FIND("-",L7)-1)))*24-1,0))</f>
        <v/>
      </c>
      <c r="M23" s="5">
        <f>IF(M7="",0,IFERROR((TIMEVALUE(MID(M7,FIND("-",M7)+1,10))-TIMEVALUE(LEFT(M7,FIND("-",M7)-1)))*24,0))</f>
        <v/>
      </c>
      <c r="N23" s="5">
        <f>IF(N7="",0,IFERROR((TIMEVALUE(MID(N7,FIND("-",N7)+1,10))-TIMEVALUE(LEFT(N7,FIND("-",N7)-1)))*24-1,0))</f>
        <v/>
      </c>
      <c r="O23" s="5">
        <f>IF(O7="",0,IFERROR((TIMEVALUE(MID(O7,FIND("-",O7)+1,10))-TIMEVALUE(LEFT(O7,FIND("-",O7)-1)))*24-1,0))</f>
        <v/>
      </c>
      <c r="P23" s="5">
        <f>IF(P7="",0,IFERROR((TIMEVALUE(MID(P7,FIND("-",P7)+1,10))-TIMEVALUE(LEFT(P7,FIND("-",P7)-1)))*24-1,0))</f>
        <v/>
      </c>
      <c r="Q23" s="5">
        <f>IF(Q7="",0,IFERROR((TIMEVALUE(MID(Q7,FIND("-",Q7)+1,10))-TIMEVALUE(LEFT(Q7,FIND("-",Q7)-1)))*24-1,0))</f>
        <v/>
      </c>
      <c r="R23" s="5">
        <f>IF(R7="",0,IFERROR((TIMEVALUE(MID(R7,FIND("-",R7)+1,10))-TIMEVALUE(LEFT(R7,FIND("-",R7)-1)))*24-1,0))</f>
        <v/>
      </c>
      <c r="S23" s="5">
        <f>IF(S7="",0,IFERROR((TIMEVALUE(MID(S7,FIND("-",S7)+1,10))-TIMEVALUE(LEFT(S7,FIND("-",S7)-1)))*24-1,0))</f>
        <v/>
      </c>
      <c r="T23" s="5">
        <f>IF(T7="",0,IFERROR((TIMEVALUE(MID(T7,FIND("-",T7)+1,10))-TIMEVALUE(LEFT(T7,FIND("-",T7)-1)))*24,0))</f>
        <v/>
      </c>
      <c r="U23" s="5">
        <f>IF(U7="",0,IFERROR((TIMEVALUE(MID(U7,FIND("-",U7)+1,10))-TIMEVALUE(LEFT(U7,FIND("-",U7)-1)))*24-1,0))</f>
        <v/>
      </c>
      <c r="V23" s="5">
        <f>IF(V7="",0,IFERROR((TIMEVALUE(MID(V7,FIND("-",V7)+1,10))-TIMEVALUE(LEFT(V7,FIND("-",V7)-1)))*24-1,0))</f>
        <v/>
      </c>
      <c r="W23" s="5">
        <f>IF(W7="",0,IFERROR((TIMEVALUE(MID(W7,FIND("-",W7)+1,10))-TIMEVALUE(LEFT(W7,FIND("-",W7)-1)))*24-1,0))</f>
        <v/>
      </c>
      <c r="X23" s="5">
        <f>IF(X7="",0,IFERROR((TIMEVALUE(MID(X7,FIND("-",X7)+1,10))-TIMEVALUE(LEFT(X7,FIND("-",X7)-1)))*24-1,0))</f>
        <v/>
      </c>
      <c r="Y23" s="5">
        <f>IF(Y7="",0,IFERROR((TIMEVALUE(MID(Y7,FIND("-",Y7)+1,10))-TIMEVALUE(LEFT(Y7,FIND("-",Y7)-1)))*24-1,0))</f>
        <v/>
      </c>
      <c r="Z23" s="5">
        <f>IF(Z7="",0,IFERROR((TIMEVALUE(MID(Z7,FIND("-",Z7)+1,10))-TIMEVALUE(LEFT(Z7,FIND("-",Z7)-1)))*24-1,0))</f>
        <v/>
      </c>
      <c r="AA23" s="5">
        <f>IF(AA7="",0,IFERROR((TIMEVALUE(MID(AA7,FIND("-",AA7)+1,10))-TIMEVALUE(LEFT(AA7,FIND("-",AA7)-1)))*24,0))</f>
        <v/>
      </c>
      <c r="AB23" s="5">
        <f>IF(AB7="",0,IFERROR((TIMEVALUE(MID(AB7,FIND("-",AB7)+1,10))-TIMEVALUE(LEFT(AB7,FIND("-",AB7)-1)))*24-1,0))</f>
        <v/>
      </c>
      <c r="AC23" s="5">
        <f>IF(AC7="",0,IFERROR((TIMEVALUE(MID(AC7,FIND("-",AC7)+1,10))-TIMEVALUE(LEFT(AC7,FIND("-",AC7)-1)))*24-1,0))</f>
        <v/>
      </c>
      <c r="AD23" s="5">
        <f>IF(AD7="",0,IFERROR((TIMEVALUE(MID(AD7,FIND("-",AD7)+1,10))-TIMEVALUE(LEFT(AD7,FIND("-",AD7)-1)))*24-1,0))</f>
        <v/>
      </c>
      <c r="AE23" s="5">
        <f>IF(AE7="",0,IFERROR((TIMEVALUE(MID(AE7,FIND("-",AE7)+1,10))-TIMEVALUE(LEFT(AE7,FIND("-",AE7)-1)))*24-1,0))</f>
        <v/>
      </c>
      <c r="AF23" s="5">
        <f>IF(AF7="",0,IFERROR((TIMEVALUE(MID(AF7,FIND("-",AF7)+1,10))-TIMEVALUE(LEFT(AF7,FIND("-",AF7)-1)))*24-1,0))</f>
        <v/>
      </c>
      <c r="AG23" s="5">
        <f>IF(AG7="",0,IFERROR((TIMEVALUE(MID(AG7,FIND("-",AG7)+1,10))-TIMEVALUE(LEFT(AG7,FIND("-",AG7)-1)))*24-1,0))</f>
        <v/>
      </c>
      <c r="AH23" s="5">
        <f>IF(AH7="",0,IFERROR((TIMEVALUE(MID(AH7,FIND("-",AH7)+1,10))-TIMEVALUE(LEFT(AH7,FIND("-",AH7)-1)))*24,0))</f>
        <v/>
      </c>
      <c r="AI23" s="5">
        <f>SUM(D23:F23)</f>
        <v/>
      </c>
      <c r="AJ23" s="5">
        <f>SUM(H23:M23)</f>
        <v/>
      </c>
      <c r="AK23" s="5">
        <f>SUM(O23:T23)</f>
        <v/>
      </c>
      <c r="AL23" s="5">
        <f>SUM(V23:AA23)</f>
        <v/>
      </c>
      <c r="AM23" s="5">
        <f>SUM(AC23:AH23)</f>
        <v/>
      </c>
      <c r="AN23" s="5">
        <f>SUM(AI23:AM23)</f>
        <v/>
      </c>
      <c r="AO23" s="5" t="inlineStr">
        <is>
          <t>N/A</t>
        </is>
      </c>
    </row>
    <row r="24" ht="15" customHeight="1">
      <c r="A24" s="9">
        <f>A8</f>
        <v/>
      </c>
      <c r="B24" s="5">
        <f>B8</f>
        <v/>
      </c>
      <c r="C24" s="5">
        <f>C8</f>
        <v/>
      </c>
      <c r="D24" s="5">
        <f>IF(D8="",0,IFERROR((TIMEVALUE(MID(D8,FIND("-",D8)+1,10))-TIMEVALUE(LEFT(D8,FIND("-",D8)-1)))*24-1,0))</f>
        <v/>
      </c>
      <c r="E24" s="5">
        <f>IF(E8="",0,IFERROR((TIMEVALUE(MID(E8,FIND("-",E8)+1,10))-TIMEVALUE(LEFT(E8,FIND("-",E8)-1)))*24-1,0))</f>
        <v/>
      </c>
      <c r="F24" s="5">
        <f>IF(F8="",0,IFERROR((TIMEVALUE(MID(F8,FIND("-",F8)+1,10))-TIMEVALUE(LEFT(F8,FIND("-",F8)-1)))*24,0))</f>
        <v/>
      </c>
      <c r="G24" s="5">
        <f>IF(G8="",0,IFERROR((TIMEVALUE(MID(G8,FIND("-",G8)+1,10))-TIMEVALUE(LEFT(G8,FIND("-",G8)-1)))*24-1,0))</f>
        <v/>
      </c>
      <c r="H24" s="5">
        <f>IF(H8="",0,IFERROR((TIMEVALUE(MID(H8,FIND("-",H8)+1,10))-TIMEVALUE(LEFT(H8,FIND("-",H8)-1)))*24-1,0))</f>
        <v/>
      </c>
      <c r="I24" s="5">
        <f>IF(I8="",0,IFERROR((TIMEVALUE(MID(I8,FIND("-",I8)+1,10))-TIMEVALUE(LEFT(I8,FIND("-",I8)-1)))*24-1,0))</f>
        <v/>
      </c>
      <c r="J24" s="5">
        <f>IF(J8="",0,IFERROR((TIMEVALUE(MID(J8,FIND("-",J8)+1,10))-TIMEVALUE(LEFT(J8,FIND("-",J8)-1)))*24-1,0))</f>
        <v/>
      </c>
      <c r="K24" s="5">
        <f>IF(K8="",0,IFERROR((TIMEVALUE(MID(K8,FIND("-",K8)+1,10))-TIMEVALUE(LEFT(K8,FIND("-",K8)-1)))*24-1,0))</f>
        <v/>
      </c>
      <c r="L24" s="5">
        <f>IF(L8="",0,IFERROR((TIMEVALUE(MID(L8,FIND("-",L8)+1,10))-TIMEVALUE(LEFT(L8,FIND("-",L8)-1)))*24-1,0))</f>
        <v/>
      </c>
      <c r="M24" s="5">
        <f>IF(M8="",0,IFERROR((TIMEVALUE(MID(M8,FIND("-",M8)+1,10))-TIMEVALUE(LEFT(M8,FIND("-",M8)-1)))*24,0))</f>
        <v/>
      </c>
      <c r="N24" s="5">
        <f>IF(N8="",0,IFERROR((TIMEVALUE(MID(N8,FIND("-",N8)+1,10))-TIMEVALUE(LEFT(N8,FIND("-",N8)-1)))*24-1,0))</f>
        <v/>
      </c>
      <c r="O24" s="5">
        <f>IF(O8="",0,IFERROR((TIMEVALUE(MID(O8,FIND("-",O8)+1,10))-TIMEVALUE(LEFT(O8,FIND("-",O8)-1)))*24-1,0))</f>
        <v/>
      </c>
      <c r="P24" s="5">
        <f>IF(P8="",0,IFERROR((TIMEVALUE(MID(P8,FIND("-",P8)+1,10))-TIMEVALUE(LEFT(P8,FIND("-",P8)-1)))*24-1,0))</f>
        <v/>
      </c>
      <c r="Q24" s="5">
        <f>IF(Q8="",0,IFERROR((TIMEVALUE(MID(Q8,FIND("-",Q8)+1,10))-TIMEVALUE(LEFT(Q8,FIND("-",Q8)-1)))*24-1,0))</f>
        <v/>
      </c>
      <c r="R24" s="5">
        <f>IF(R8="",0,IFERROR((TIMEVALUE(MID(R8,FIND("-",R8)+1,10))-TIMEVALUE(LEFT(R8,FIND("-",R8)-1)))*24-1,0))</f>
        <v/>
      </c>
      <c r="S24" s="5">
        <f>IF(S8="",0,IFERROR((TIMEVALUE(MID(S8,FIND("-",S8)+1,10))-TIMEVALUE(LEFT(S8,FIND("-",S8)-1)))*24-1,0))</f>
        <v/>
      </c>
      <c r="T24" s="5">
        <f>IF(T8="",0,IFERROR((TIMEVALUE(MID(T8,FIND("-",T8)+1,10))-TIMEVALUE(LEFT(T8,FIND("-",T8)-1)))*24,0))</f>
        <v/>
      </c>
      <c r="U24" s="5">
        <f>IF(U8="",0,IFERROR((TIMEVALUE(MID(U8,FIND("-",U8)+1,10))-TIMEVALUE(LEFT(U8,FIND("-",U8)-1)))*24-1,0))</f>
        <v/>
      </c>
      <c r="V24" s="5">
        <f>IF(V8="",0,IFERROR((TIMEVALUE(MID(V8,FIND("-",V8)+1,10))-TIMEVALUE(LEFT(V8,FIND("-",V8)-1)))*24-1,0))</f>
        <v/>
      </c>
      <c r="W24" s="5">
        <f>IF(W8="",0,IFERROR((TIMEVALUE(MID(W8,FIND("-",W8)+1,10))-TIMEVALUE(LEFT(W8,FIND("-",W8)-1)))*24-1,0))</f>
        <v/>
      </c>
      <c r="X24" s="5">
        <f>IF(X8="",0,IFERROR((TIMEVALUE(MID(X8,FIND("-",X8)+1,10))-TIMEVALUE(LEFT(X8,FIND("-",X8)-1)))*24-1,0))</f>
        <v/>
      </c>
      <c r="Y24" s="5">
        <f>IF(Y8="",0,IFERROR((TIMEVALUE(MID(Y8,FIND("-",Y8)+1,10))-TIMEVALUE(LEFT(Y8,FIND("-",Y8)-1)))*24-1,0))</f>
        <v/>
      </c>
      <c r="Z24" s="5">
        <f>IF(Z8="",0,IFERROR((TIMEVALUE(MID(Z8,FIND("-",Z8)+1,10))-TIMEVALUE(LEFT(Z8,FIND("-",Z8)-1)))*24-1,0))</f>
        <v/>
      </c>
      <c r="AA24" s="5">
        <f>IF(AA8="",0,IFERROR((TIMEVALUE(MID(AA8,FIND("-",AA8)+1,10))-TIMEVALUE(LEFT(AA8,FIND("-",AA8)-1)))*24,0))</f>
        <v/>
      </c>
      <c r="AB24" s="5">
        <f>IF(AB8="",0,IFERROR((TIMEVALUE(MID(AB8,FIND("-",AB8)+1,10))-TIMEVALUE(LEFT(AB8,FIND("-",AB8)-1)))*24-1,0))</f>
        <v/>
      </c>
      <c r="AC24" s="5">
        <f>IF(AC8="",0,IFERROR((TIMEVALUE(MID(AC8,FIND("-",AC8)+1,10))-TIMEVALUE(LEFT(AC8,FIND("-",AC8)-1)))*24-1,0))</f>
        <v/>
      </c>
      <c r="AD24" s="5">
        <f>IF(AD8="",0,IFERROR((TIMEVALUE(MID(AD8,FIND("-",AD8)+1,10))-TIMEVALUE(LEFT(AD8,FIND("-",AD8)-1)))*24-1,0))</f>
        <v/>
      </c>
      <c r="AE24" s="5">
        <f>IF(AE8="",0,IFERROR((TIMEVALUE(MID(AE8,FIND("-",AE8)+1,10))-TIMEVALUE(LEFT(AE8,FIND("-",AE8)-1)))*24-1,0))</f>
        <v/>
      </c>
      <c r="AF24" s="5">
        <f>IF(AF8="",0,IFERROR((TIMEVALUE(MID(AF8,FIND("-",AF8)+1,10))-TIMEVALUE(LEFT(AF8,FIND("-",AF8)-1)))*24-1,0))</f>
        <v/>
      </c>
      <c r="AG24" s="5">
        <f>IF(AG8="",0,IFERROR((TIMEVALUE(MID(AG8,FIND("-",AG8)+1,10))-TIMEVALUE(LEFT(AG8,FIND("-",AG8)-1)))*24-1,0))</f>
        <v/>
      </c>
      <c r="AH24" s="5">
        <f>IF(AH8="",0,IFERROR((TIMEVALUE(MID(AH8,FIND("-",AH8)+1,10))-TIMEVALUE(LEFT(AH8,FIND("-",AH8)-1)))*24,0))</f>
        <v/>
      </c>
      <c r="AI24" s="5">
        <f>SUM(D24:F24)</f>
        <v/>
      </c>
      <c r="AJ24" s="5">
        <f>SUM(H24:M24)</f>
        <v/>
      </c>
      <c r="AK24" s="5">
        <f>SUM(O24:T24)</f>
        <v/>
      </c>
      <c r="AL24" s="5">
        <f>SUM(V24:AA24)</f>
        <v/>
      </c>
      <c r="AM24" s="5">
        <f>SUM(AC24:AH24)</f>
        <v/>
      </c>
      <c r="AN24" s="5">
        <f>SUM(AI24:AM24)</f>
        <v/>
      </c>
      <c r="AO24" s="5">
        <f>AN24*2</f>
        <v/>
      </c>
    </row>
    <row r="25" ht="15" customHeight="1">
      <c r="A25" s="9">
        <f>A9</f>
        <v/>
      </c>
      <c r="B25" s="5">
        <f>B9</f>
        <v/>
      </c>
      <c r="C25" s="5">
        <f>C9</f>
        <v/>
      </c>
      <c r="D25" s="5">
        <f>IF(D9="",0,IFERROR((TIMEVALUE(MID(D9,FIND("-",D9)+1,10))-TIMEVALUE(LEFT(D9,FIND("-",D9)-1)))*24-1,0))</f>
        <v/>
      </c>
      <c r="E25" s="5">
        <f>IF(E9="",0,IFERROR((TIMEVALUE(MID(E9,FIND("-",E9)+1,10))-TIMEVALUE(LEFT(E9,FIND("-",E9)-1)))*24-1,0))</f>
        <v/>
      </c>
      <c r="F25" s="5">
        <f>IF(F9="",0,IFERROR((TIMEVALUE(MID(F9,FIND("-",F9)+1,10))-TIMEVALUE(LEFT(F9,FIND("-",F9)-1)))*24,0))</f>
        <v/>
      </c>
      <c r="G25" s="5">
        <f>IF(G9="",0,IFERROR((TIMEVALUE(MID(G9,FIND("-",G9)+1,10))-TIMEVALUE(LEFT(G9,FIND("-",G9)-1)))*24-1,0))</f>
        <v/>
      </c>
      <c r="H25" s="5">
        <f>IF(H9="",0,IFERROR((TIMEVALUE(MID(H9,FIND("-",H9)+1,10))-TIMEVALUE(LEFT(H9,FIND("-",H9)-1)))*24-1,0))</f>
        <v/>
      </c>
      <c r="I25" s="5">
        <f>IF(I9="",0,IFERROR((TIMEVALUE(MID(I9,FIND("-",I9)+1,10))-TIMEVALUE(LEFT(I9,FIND("-",I9)-1)))*24-1,0))</f>
        <v/>
      </c>
      <c r="J25" s="5">
        <f>IF(J9="",0,IFERROR((TIMEVALUE(MID(J9,FIND("-",J9)+1,10))-TIMEVALUE(LEFT(J9,FIND("-",J9)-1)))*24-1,0))</f>
        <v/>
      </c>
      <c r="K25" s="5">
        <f>IF(K9="",0,IFERROR((TIMEVALUE(MID(K9,FIND("-",K9)+1,10))-TIMEVALUE(LEFT(K9,FIND("-",K9)-1)))*24-1,0))</f>
        <v/>
      </c>
      <c r="L25" s="5">
        <f>IF(L9="",0,IFERROR((TIMEVALUE(MID(L9,FIND("-",L9)+1,10))-TIMEVALUE(LEFT(L9,FIND("-",L9)-1)))*24-1,0))</f>
        <v/>
      </c>
      <c r="M25" s="5">
        <f>IF(M9="",0,IFERROR((TIMEVALUE(MID(M9,FIND("-",M9)+1,10))-TIMEVALUE(LEFT(M9,FIND("-",M9)-1)))*24,0))</f>
        <v/>
      </c>
      <c r="N25" s="5">
        <f>IF(N9="",0,IFERROR((TIMEVALUE(MID(N9,FIND("-",N9)+1,10))-TIMEVALUE(LEFT(N9,FIND("-",N9)-1)))*24-1,0))</f>
        <v/>
      </c>
      <c r="O25" s="5">
        <f>IF(O9="",0,IFERROR((TIMEVALUE(MID(O9,FIND("-",O9)+1,10))-TIMEVALUE(LEFT(O9,FIND("-",O9)-1)))*24-1,0))</f>
        <v/>
      </c>
      <c r="P25" s="5">
        <f>IF(P9="",0,IFERROR((TIMEVALUE(MID(P9,FIND("-",P9)+1,10))-TIMEVALUE(LEFT(P9,FIND("-",P9)-1)))*24-1,0))</f>
        <v/>
      </c>
      <c r="Q25" s="5">
        <f>IF(Q9="",0,IFERROR((TIMEVALUE(MID(Q9,FIND("-",Q9)+1,10))-TIMEVALUE(LEFT(Q9,FIND("-",Q9)-1)))*24-1,0))</f>
        <v/>
      </c>
      <c r="R25" s="5">
        <f>IF(R9="",0,IFERROR((TIMEVALUE(MID(R9,FIND("-",R9)+1,10))-TIMEVALUE(LEFT(R9,FIND("-",R9)-1)))*24-1,0))</f>
        <v/>
      </c>
      <c r="S25" s="5">
        <f>IF(S9="",0,IFERROR((TIMEVALUE(MID(S9,FIND("-",S9)+1,10))-TIMEVALUE(LEFT(S9,FIND("-",S9)-1)))*24-1,0))</f>
        <v/>
      </c>
      <c r="T25" s="5">
        <f>IF(T9="",0,IFERROR((TIMEVALUE(MID(T9,FIND("-",T9)+1,10))-TIMEVALUE(LEFT(T9,FIND("-",T9)-1)))*24,0))</f>
        <v/>
      </c>
      <c r="U25" s="5">
        <f>IF(U9="",0,IFERROR((TIMEVALUE(MID(U9,FIND("-",U9)+1,10))-TIMEVALUE(LEFT(U9,FIND("-",U9)-1)))*24-1,0))</f>
        <v/>
      </c>
      <c r="V25" s="5">
        <f>IF(V9="",0,IFERROR((TIMEVALUE(MID(V9,FIND("-",V9)+1,10))-TIMEVALUE(LEFT(V9,FIND("-",V9)-1)))*24-1,0))</f>
        <v/>
      </c>
      <c r="W25" s="5">
        <f>IF(W9="",0,IFERROR((TIMEVALUE(MID(W9,FIND("-",W9)+1,10))-TIMEVALUE(LEFT(W9,FIND("-",W9)-1)))*24-1,0))</f>
        <v/>
      </c>
      <c r="X25" s="5">
        <f>IF(X9="",0,IFERROR((TIMEVALUE(MID(X9,FIND("-",X9)+1,10))-TIMEVALUE(LEFT(X9,FIND("-",X9)-1)))*24-1,0))</f>
        <v/>
      </c>
      <c r="Y25" s="5">
        <f>IF(Y9="",0,IFERROR((TIMEVALUE(MID(Y9,FIND("-",Y9)+1,10))-TIMEVALUE(LEFT(Y9,FIND("-",Y9)-1)))*24-1,0))</f>
        <v/>
      </c>
      <c r="Z25" s="5">
        <f>IF(Z9="",0,IFERROR((TIMEVALUE(MID(Z9,FIND("-",Z9)+1,10))-TIMEVALUE(LEFT(Z9,FIND("-",Z9)-1)))*24-1,0))</f>
        <v/>
      </c>
      <c r="AA25" s="5">
        <f>IF(AA9="",0,IFERROR((TIMEVALUE(MID(AA9,FIND("-",AA9)+1,10))-TIMEVALUE(LEFT(AA9,FIND("-",AA9)-1)))*24,0))</f>
        <v/>
      </c>
      <c r="AB25" s="5">
        <f>IF(AB9="",0,IFERROR((TIMEVALUE(MID(AB9,FIND("-",AB9)+1,10))-TIMEVALUE(LEFT(AB9,FIND("-",AB9)-1)))*24-1,0))</f>
        <v/>
      </c>
      <c r="AC25" s="5">
        <f>IF(AC9="",0,IFERROR((TIMEVALUE(MID(AC9,FIND("-",AC9)+1,10))-TIMEVALUE(LEFT(AC9,FIND("-",AC9)-1)))*24-1,0))</f>
        <v/>
      </c>
      <c r="AD25" s="5">
        <f>IF(AD9="",0,IFERROR((TIMEVALUE(MID(AD9,FIND("-",AD9)+1,10))-TIMEVALUE(LEFT(AD9,FIND("-",AD9)-1)))*24-1,0))</f>
        <v/>
      </c>
      <c r="AE25" s="5">
        <f>IF(AE9="",0,IFERROR((TIMEVALUE(MID(AE9,FIND("-",AE9)+1,10))-TIMEVALUE(LEFT(AE9,FIND("-",AE9)-1)))*24-1,0))</f>
        <v/>
      </c>
      <c r="AF25" s="5">
        <f>IF(AF9="",0,IFERROR((TIMEVALUE(MID(AF9,FIND("-",AF9)+1,10))-TIMEVALUE(LEFT(AF9,FIND("-",AF9)-1)))*24-1,0))</f>
        <v/>
      </c>
      <c r="AG25" s="5">
        <f>IF(AG9="",0,IFERROR((TIMEVALUE(MID(AG9,FIND("-",AG9)+1,10))-TIMEVALUE(LEFT(AG9,FIND("-",AG9)-1)))*24-1,0))</f>
        <v/>
      </c>
      <c r="AH25" s="5">
        <f>IF(AH9="",0,IFERROR((TIMEVALUE(MID(AH9,FIND("-",AH9)+1,10))-TIMEVALUE(LEFT(AH9,FIND("-",AH9)-1)))*24,0))</f>
        <v/>
      </c>
      <c r="AI25" s="5">
        <f>SUM(D25:F25)</f>
        <v/>
      </c>
      <c r="AJ25" s="5">
        <f>SUM(H25:M25)</f>
        <v/>
      </c>
      <c r="AK25" s="5">
        <f>SUM(O25:T25)</f>
        <v/>
      </c>
      <c r="AL25" s="5">
        <f>SUM(V25:AA25)</f>
        <v/>
      </c>
      <c r="AM25" s="5">
        <f>SUM(AC25:AH25)</f>
        <v/>
      </c>
      <c r="AN25" s="5">
        <f>SUM(AI25:AM25)</f>
        <v/>
      </c>
      <c r="AO25" s="5">
        <f>AN25*2</f>
        <v/>
      </c>
    </row>
    <row r="26" ht="15" customHeight="1">
      <c r="A26" s="9">
        <f>A10</f>
        <v/>
      </c>
      <c r="B26" s="5">
        <f>B10</f>
        <v/>
      </c>
      <c r="C26" s="5">
        <f>C10</f>
        <v/>
      </c>
      <c r="D26" s="5">
        <f>IF(D10="",0,IFERROR((TIMEVALUE(MID(D10,FIND("-",D10)+1,10))-TIMEVALUE(LEFT(D10,FIND("-",D10)-1)))*24-1,0))</f>
        <v/>
      </c>
      <c r="E26" s="5">
        <f>IF(E10="",0,IFERROR((TIMEVALUE(MID(E10,FIND("-",E10)+1,10))-TIMEVALUE(LEFT(E10,FIND("-",E10)-1)))*24-1,0))</f>
        <v/>
      </c>
      <c r="F26" s="5">
        <f>IF(F10="",0,IFERROR((TIMEVALUE(MID(F10,FIND("-",F10)+1,10))-TIMEVALUE(LEFT(F10,FIND("-",F10)-1)))*24,0))</f>
        <v/>
      </c>
      <c r="G26" s="5">
        <f>IF(G10="",0,IFERROR((TIMEVALUE(MID(G10,FIND("-",G10)+1,10))-TIMEVALUE(LEFT(G10,FIND("-",G10)-1)))*24-1,0))</f>
        <v/>
      </c>
      <c r="H26" s="5">
        <f>IF(H10="",0,IFERROR((TIMEVALUE(MID(H10,FIND("-",H10)+1,10))-TIMEVALUE(LEFT(H10,FIND("-",H10)-1)))*24-1,0))</f>
        <v/>
      </c>
      <c r="I26" s="5">
        <f>IF(I10="",0,IFERROR((TIMEVALUE(MID(I10,FIND("-",I10)+1,10))-TIMEVALUE(LEFT(I10,FIND("-",I10)-1)))*24-1,0))</f>
        <v/>
      </c>
      <c r="J26" s="5">
        <f>IF(J10="",0,IFERROR((TIMEVALUE(MID(J10,FIND("-",J10)+1,10))-TIMEVALUE(LEFT(J10,FIND("-",J10)-1)))*24-1,0))</f>
        <v/>
      </c>
      <c r="K26" s="5">
        <f>IF(K10="",0,IFERROR((TIMEVALUE(MID(K10,FIND("-",K10)+1,10))-TIMEVALUE(LEFT(K10,FIND("-",K10)-1)))*24-1,0))</f>
        <v/>
      </c>
      <c r="L26" s="5">
        <f>IF(L10="",0,IFERROR((TIMEVALUE(MID(L10,FIND("-",L10)+1,10))-TIMEVALUE(LEFT(L10,FIND("-",L10)-1)))*24-1,0))</f>
        <v/>
      </c>
      <c r="M26" s="5">
        <f>IF(M10="",0,IFERROR((TIMEVALUE(MID(M10,FIND("-",M10)+1,10))-TIMEVALUE(LEFT(M10,FIND("-",M10)-1)))*24,0))</f>
        <v/>
      </c>
      <c r="N26" s="5">
        <f>IF(N10="",0,IFERROR((TIMEVALUE(MID(N10,FIND("-",N10)+1,10))-TIMEVALUE(LEFT(N10,FIND("-",N10)-1)))*24-1,0))</f>
        <v/>
      </c>
      <c r="O26" s="5">
        <f>IF(O10="",0,IFERROR((TIMEVALUE(MID(O10,FIND("-",O10)+1,10))-TIMEVALUE(LEFT(O10,FIND("-",O10)-1)))*24-1,0))</f>
        <v/>
      </c>
      <c r="P26" s="5">
        <f>IF(P10="",0,IFERROR((TIMEVALUE(MID(P10,FIND("-",P10)+1,10))-TIMEVALUE(LEFT(P10,FIND("-",P10)-1)))*24-1,0))</f>
        <v/>
      </c>
      <c r="Q26" s="5">
        <f>IF(Q10="",0,IFERROR((TIMEVALUE(MID(Q10,FIND("-",Q10)+1,10))-TIMEVALUE(LEFT(Q10,FIND("-",Q10)-1)))*24-1,0))</f>
        <v/>
      </c>
      <c r="R26" s="5">
        <f>IF(R10="",0,IFERROR((TIMEVALUE(MID(R10,FIND("-",R10)+1,10))-TIMEVALUE(LEFT(R10,FIND("-",R10)-1)))*24-1,0))</f>
        <v/>
      </c>
      <c r="S26" s="5">
        <f>IF(S10="",0,IFERROR((TIMEVALUE(MID(S10,FIND("-",S10)+1,10))-TIMEVALUE(LEFT(S10,FIND("-",S10)-1)))*24-1,0))</f>
        <v/>
      </c>
      <c r="T26" s="5">
        <f>IF(T10="",0,IFERROR((TIMEVALUE(MID(T10,FIND("-",T10)+1,10))-TIMEVALUE(LEFT(T10,FIND("-",T10)-1)))*24,0))</f>
        <v/>
      </c>
      <c r="U26" s="5">
        <f>IF(U10="",0,IFERROR((TIMEVALUE(MID(U10,FIND("-",U10)+1,10))-TIMEVALUE(LEFT(U10,FIND("-",U10)-1)))*24-1,0))</f>
        <v/>
      </c>
      <c r="V26" s="5">
        <f>IF(V10="",0,IFERROR((TIMEVALUE(MID(V10,FIND("-",V10)+1,10))-TIMEVALUE(LEFT(V10,FIND("-",V10)-1)))*24-1,0))</f>
        <v/>
      </c>
      <c r="W26" s="5">
        <f>IF(W10="",0,IFERROR((TIMEVALUE(MID(W10,FIND("-",W10)+1,10))-TIMEVALUE(LEFT(W10,FIND("-",W10)-1)))*24-1,0))</f>
        <v/>
      </c>
      <c r="X26" s="5">
        <f>IF(X10="",0,IFERROR((TIMEVALUE(MID(X10,FIND("-",X10)+1,10))-TIMEVALUE(LEFT(X10,FIND("-",X10)-1)))*24-1,0))</f>
        <v/>
      </c>
      <c r="Y26" s="5">
        <f>IF(Y10="",0,IFERROR((TIMEVALUE(MID(Y10,FIND("-",Y10)+1,10))-TIMEVALUE(LEFT(Y10,FIND("-",Y10)-1)))*24-1,0))</f>
        <v/>
      </c>
      <c r="Z26" s="5">
        <f>IF(Z10="",0,IFERROR((TIMEVALUE(MID(Z10,FIND("-",Z10)+1,10))-TIMEVALUE(LEFT(Z10,FIND("-",Z10)-1)))*24-1,0))</f>
        <v/>
      </c>
      <c r="AA26" s="5">
        <f>IF(AA10="",0,IFERROR((TIMEVALUE(MID(AA10,FIND("-",AA10)+1,10))-TIMEVALUE(LEFT(AA10,FIND("-",AA10)-1)))*24,0))</f>
        <v/>
      </c>
      <c r="AB26" s="5">
        <f>IF(AB10="",0,IFERROR((TIMEVALUE(MID(AB10,FIND("-",AB10)+1,10))-TIMEVALUE(LEFT(AB10,FIND("-",AB10)-1)))*24-1,0))</f>
        <v/>
      </c>
      <c r="AC26" s="5">
        <f>IF(AC10="",0,IFERROR((TIMEVALUE(MID(AC10,FIND("-",AC10)+1,10))-TIMEVALUE(LEFT(AC10,FIND("-",AC10)-1)))*24-1,0))</f>
        <v/>
      </c>
      <c r="AD26" s="5">
        <f>IF(AD10="",0,IFERROR((TIMEVALUE(MID(AD10,FIND("-",AD10)+1,10))-TIMEVALUE(LEFT(AD10,FIND("-",AD10)-1)))*24-1,0))</f>
        <v/>
      </c>
      <c r="AE26" s="5">
        <f>IF(AE10="",0,IFERROR((TIMEVALUE(MID(AE10,FIND("-",AE10)+1,10))-TIMEVALUE(LEFT(AE10,FIND("-",AE10)-1)))*24-1,0))</f>
        <v/>
      </c>
      <c r="AF26" s="5">
        <f>IF(AF10="",0,IFERROR((TIMEVALUE(MID(AF10,FIND("-",AF10)+1,10))-TIMEVALUE(LEFT(AF10,FIND("-",AF10)-1)))*24-1,0))</f>
        <v/>
      </c>
      <c r="AG26" s="5">
        <f>IF(AG10="",0,IFERROR((TIMEVALUE(MID(AG10,FIND("-",AG10)+1,10))-TIMEVALUE(LEFT(AG10,FIND("-",AG10)-1)))*24-1,0))</f>
        <v/>
      </c>
      <c r="AH26" s="5">
        <f>IF(AH10="",0,IFERROR((TIMEVALUE(MID(AH10,FIND("-",AH10)+1,10))-TIMEVALUE(LEFT(AH10,FIND("-",AH10)-1)))*24,0))</f>
        <v/>
      </c>
      <c r="AI26" s="5">
        <f>SUM(D26:F26)</f>
        <v/>
      </c>
      <c r="AJ26" s="5">
        <f>SUM(H26:M26)</f>
        <v/>
      </c>
      <c r="AK26" s="5">
        <f>SUM(O26:T26)</f>
        <v/>
      </c>
      <c r="AL26" s="5">
        <f>SUM(V26:AA26)</f>
        <v/>
      </c>
      <c r="AM26" s="5">
        <f>SUM(AC26:AH26)</f>
        <v/>
      </c>
      <c r="AN26" s="5">
        <f>SUM(AI26:AM26)</f>
        <v/>
      </c>
      <c r="AO26" s="5" t="inlineStr">
        <is>
          <t>N/A</t>
        </is>
      </c>
    </row>
    <row r="27" ht="15" customHeight="1">
      <c r="A27" s="9">
        <f>A11</f>
        <v/>
      </c>
      <c r="B27" s="5">
        <f>B11</f>
        <v/>
      </c>
      <c r="C27" s="5">
        <f>C11</f>
        <v/>
      </c>
      <c r="D27" s="5">
        <f>IF(D11="",0,IFERROR((TIMEVALUE(MID(D11,FIND("-",D11)+1,10))-TIMEVALUE(LEFT(D11,FIND("-",D11)-1)))*24-1,0))</f>
        <v/>
      </c>
      <c r="E27" s="5">
        <f>IF(E11="",0,IFERROR((TIMEVALUE(MID(E11,FIND("-",E11)+1,10))-TIMEVALUE(LEFT(E11,FIND("-",E11)-1)))*24-1,0))</f>
        <v/>
      </c>
      <c r="F27" s="5">
        <f>IF(F11="",0,IFERROR((TIMEVALUE(MID(F11,FIND("-",F11)+1,10))-TIMEVALUE(LEFT(F11,FIND("-",F11)-1)))*24,0))</f>
        <v/>
      </c>
      <c r="G27" s="5">
        <f>IF(G11="",0,IFERROR((TIMEVALUE(MID(G11,FIND("-",G11)+1,10))-TIMEVALUE(LEFT(G11,FIND("-",G11)-1)))*24-1,0))</f>
        <v/>
      </c>
      <c r="H27" s="5">
        <f>IF(H11="",0,IFERROR((TIMEVALUE(MID(H11,FIND("-",H11)+1,10))-TIMEVALUE(LEFT(H11,FIND("-",H11)-1)))*24-1,0))</f>
        <v/>
      </c>
      <c r="I27" s="5">
        <f>IF(I11="",0,IFERROR((TIMEVALUE(MID(I11,FIND("-",I11)+1,10))-TIMEVALUE(LEFT(I11,FIND("-",I11)-1)))*24-1,0))</f>
        <v/>
      </c>
      <c r="J27" s="5">
        <f>IF(J11="",0,IFERROR((TIMEVALUE(MID(J11,FIND("-",J11)+1,10))-TIMEVALUE(LEFT(J11,FIND("-",J11)-1)))*24-1,0))</f>
        <v/>
      </c>
      <c r="K27" s="5">
        <f>IF(K11="",0,IFERROR((TIMEVALUE(MID(K11,FIND("-",K11)+1,10))-TIMEVALUE(LEFT(K11,FIND("-",K11)-1)))*24-1,0))</f>
        <v/>
      </c>
      <c r="L27" s="5">
        <f>IF(L11="",0,IFERROR((TIMEVALUE(MID(L11,FIND("-",L11)+1,10))-TIMEVALUE(LEFT(L11,FIND("-",L11)-1)))*24-1,0))</f>
        <v/>
      </c>
      <c r="M27" s="5">
        <f>IF(M11="",0,IFERROR((TIMEVALUE(MID(M11,FIND("-",M11)+1,10))-TIMEVALUE(LEFT(M11,FIND("-",M11)-1)))*24,0))</f>
        <v/>
      </c>
      <c r="N27" s="5">
        <f>IF(N11="",0,IFERROR((TIMEVALUE(MID(N11,FIND("-",N11)+1,10))-TIMEVALUE(LEFT(N11,FIND("-",N11)-1)))*24-1,0))</f>
        <v/>
      </c>
      <c r="O27" s="5">
        <f>IF(O11="",0,IFERROR((TIMEVALUE(MID(O11,FIND("-",O11)+1,10))-TIMEVALUE(LEFT(O11,FIND("-",O11)-1)))*24-1,0))</f>
        <v/>
      </c>
      <c r="P27" s="5">
        <f>IF(P11="",0,IFERROR((TIMEVALUE(MID(P11,FIND("-",P11)+1,10))-TIMEVALUE(LEFT(P11,FIND("-",P11)-1)))*24-1,0))</f>
        <v/>
      </c>
      <c r="Q27" s="5">
        <f>IF(Q11="",0,IFERROR((TIMEVALUE(MID(Q11,FIND("-",Q11)+1,10))-TIMEVALUE(LEFT(Q11,FIND("-",Q11)-1)))*24-1,0))</f>
        <v/>
      </c>
      <c r="R27" s="5">
        <f>IF(R11="",0,IFERROR((TIMEVALUE(MID(R11,FIND("-",R11)+1,10))-TIMEVALUE(LEFT(R11,FIND("-",R11)-1)))*24-1,0))</f>
        <v/>
      </c>
      <c r="S27" s="5">
        <f>IF(S11="",0,IFERROR((TIMEVALUE(MID(S11,FIND("-",S11)+1,10))-TIMEVALUE(LEFT(S11,FIND("-",S11)-1)))*24-1,0))</f>
        <v/>
      </c>
      <c r="T27" s="5">
        <f>IF(T11="",0,IFERROR((TIMEVALUE(MID(T11,FIND("-",T11)+1,10))-TIMEVALUE(LEFT(T11,FIND("-",T11)-1)))*24,0))</f>
        <v/>
      </c>
      <c r="U27" s="5">
        <f>IF(U11="",0,IFERROR((TIMEVALUE(MID(U11,FIND("-",U11)+1,10))-TIMEVALUE(LEFT(U11,FIND("-",U11)-1)))*24-1,0))</f>
        <v/>
      </c>
      <c r="V27" s="5">
        <f>IF(V11="",0,IFERROR((TIMEVALUE(MID(V11,FIND("-",V11)+1,10))-TIMEVALUE(LEFT(V11,FIND("-",V11)-1)))*24-1,0))</f>
        <v/>
      </c>
      <c r="W27" s="5">
        <f>IF(W11="",0,IFERROR((TIMEVALUE(MID(W11,FIND("-",W11)+1,10))-TIMEVALUE(LEFT(W11,FIND("-",W11)-1)))*24-1,0))</f>
        <v/>
      </c>
      <c r="X27" s="5">
        <f>IF(X11="",0,IFERROR((TIMEVALUE(MID(X11,FIND("-",X11)+1,10))-TIMEVALUE(LEFT(X11,FIND("-",X11)-1)))*24-1,0))</f>
        <v/>
      </c>
      <c r="Y27" s="5">
        <f>IF(Y11="",0,IFERROR((TIMEVALUE(MID(Y11,FIND("-",Y11)+1,10))-TIMEVALUE(LEFT(Y11,FIND("-",Y11)-1)))*24-1,0))</f>
        <v/>
      </c>
      <c r="Z27" s="5">
        <f>IF(Z11="",0,IFERROR((TIMEVALUE(MID(Z11,FIND("-",Z11)+1,10))-TIMEVALUE(LEFT(Z11,FIND("-",Z11)-1)))*24-1,0))</f>
        <v/>
      </c>
      <c r="AA27" s="5">
        <f>IF(AA11="",0,IFERROR((TIMEVALUE(MID(AA11,FIND("-",AA11)+1,10))-TIMEVALUE(LEFT(AA11,FIND("-",AA11)-1)))*24,0))</f>
        <v/>
      </c>
      <c r="AB27" s="5">
        <f>IF(AB11="",0,IFERROR((TIMEVALUE(MID(AB11,FIND("-",AB11)+1,10))-TIMEVALUE(LEFT(AB11,FIND("-",AB11)-1)))*24-1,0))</f>
        <v/>
      </c>
      <c r="AC27" s="5">
        <f>IF(AC11="",0,IFERROR((TIMEVALUE(MID(AC11,FIND("-",AC11)+1,10))-TIMEVALUE(LEFT(AC11,FIND("-",AC11)-1)))*24-1,0))</f>
        <v/>
      </c>
      <c r="AD27" s="5">
        <f>IF(AD11="",0,IFERROR((TIMEVALUE(MID(AD11,FIND("-",AD11)+1,10))-TIMEVALUE(LEFT(AD11,FIND("-",AD11)-1)))*24-1,0))</f>
        <v/>
      </c>
      <c r="AE27" s="5">
        <f>IF(AE11="",0,IFERROR((TIMEVALUE(MID(AE11,FIND("-",AE11)+1,10))-TIMEVALUE(LEFT(AE11,FIND("-",AE11)-1)))*24-1,0))</f>
        <v/>
      </c>
      <c r="AF27" s="5">
        <f>IF(AF11="",0,IFERROR((TIMEVALUE(MID(AF11,FIND("-",AF11)+1,10))-TIMEVALUE(LEFT(AF11,FIND("-",AF11)-1)))*24-1,0))</f>
        <v/>
      </c>
      <c r="AG27" s="5">
        <f>IF(AG11="",0,IFERROR((TIMEVALUE(MID(AG11,FIND("-",AG11)+1,10))-TIMEVALUE(LEFT(AG11,FIND("-",AG11)-1)))*24-1,0))</f>
        <v/>
      </c>
      <c r="AH27" s="5">
        <f>IF(AH11="",0,IFERROR((TIMEVALUE(MID(AH11,FIND("-",AH11)+1,10))-TIMEVALUE(LEFT(AH11,FIND("-",AH11)-1)))*24,0))</f>
        <v/>
      </c>
      <c r="AI27" s="5">
        <f>SUM(D27:F27)</f>
        <v/>
      </c>
      <c r="AJ27" s="5">
        <f>SUM(H27:M27)</f>
        <v/>
      </c>
      <c r="AK27" s="5">
        <f>SUM(O27:T27)</f>
        <v/>
      </c>
      <c r="AL27" s="5">
        <f>SUM(V27:AA27)</f>
        <v/>
      </c>
      <c r="AM27" s="5">
        <f>SUM(AC27:AH27)</f>
        <v/>
      </c>
      <c r="AN27" s="5">
        <f>SUM(AI27:AM27)</f>
        <v/>
      </c>
      <c r="AO27" s="5">
        <f>AN27*2</f>
        <v/>
      </c>
    </row>
    <row r="28" ht="15" customHeight="1">
      <c r="A28" s="9">
        <f>A12</f>
        <v/>
      </c>
      <c r="B28" s="5">
        <f>B12</f>
        <v/>
      </c>
      <c r="C28" s="5">
        <f>C12</f>
        <v/>
      </c>
      <c r="D28" s="5">
        <f>IF(D12="",0,IFERROR((TIMEVALUE(MID(D12,FIND("-",D12)+1,10))-TIMEVALUE(LEFT(D12,FIND("-",D12)-1)))*24-1,0))</f>
        <v/>
      </c>
      <c r="E28" s="5">
        <f>IF(E12="",0,IFERROR((TIMEVALUE(MID(E12,FIND("-",E12)+1,10))-TIMEVALUE(LEFT(E12,FIND("-",E12)-1)))*24-1,0))</f>
        <v/>
      </c>
      <c r="F28" s="5">
        <f>IF(F12="",0,IFERROR((TIMEVALUE(MID(F12,FIND("-",F12)+1,10))-TIMEVALUE(LEFT(F12,FIND("-",F12)-1)))*24,0))</f>
        <v/>
      </c>
      <c r="G28" s="5">
        <f>IF(G12="",0,IFERROR((TIMEVALUE(MID(G12,FIND("-",G12)+1,10))-TIMEVALUE(LEFT(G12,FIND("-",G12)-1)))*24-1,0))</f>
        <v/>
      </c>
      <c r="H28" s="5">
        <f>IF(H12="",0,IFERROR((TIMEVALUE(MID(H12,FIND("-",H12)+1,10))-TIMEVALUE(LEFT(H12,FIND("-",H12)-1)))*24-1,0))</f>
        <v/>
      </c>
      <c r="I28" s="5">
        <f>IF(I12="",0,IFERROR((TIMEVALUE(MID(I12,FIND("-",I12)+1,10))-TIMEVALUE(LEFT(I12,FIND("-",I12)-1)))*24-1,0))</f>
        <v/>
      </c>
      <c r="J28" s="5">
        <f>IF(J12="",0,IFERROR((TIMEVALUE(MID(J12,FIND("-",J12)+1,10))-TIMEVALUE(LEFT(J12,FIND("-",J12)-1)))*24-1,0))</f>
        <v/>
      </c>
      <c r="K28" s="5">
        <f>IF(K12="",0,IFERROR((TIMEVALUE(MID(K12,FIND("-",K12)+1,10))-TIMEVALUE(LEFT(K12,FIND("-",K12)-1)))*24-1,0))</f>
        <v/>
      </c>
      <c r="L28" s="5">
        <f>IF(L12="",0,IFERROR((TIMEVALUE(MID(L12,FIND("-",L12)+1,10))-TIMEVALUE(LEFT(L12,FIND("-",L12)-1)))*24-1,0))</f>
        <v/>
      </c>
      <c r="M28" s="5">
        <f>IF(M12="",0,IFERROR((TIMEVALUE(MID(M12,FIND("-",M12)+1,10))-TIMEVALUE(LEFT(M12,FIND("-",M12)-1)))*24,0))</f>
        <v/>
      </c>
      <c r="N28" s="5">
        <f>IF(N12="",0,IFERROR((TIMEVALUE(MID(N12,FIND("-",N12)+1,10))-TIMEVALUE(LEFT(N12,FIND("-",N12)-1)))*24-1,0))</f>
        <v/>
      </c>
      <c r="O28" s="5">
        <f>IF(O12="",0,IFERROR((TIMEVALUE(MID(O12,FIND("-",O12)+1,10))-TIMEVALUE(LEFT(O12,FIND("-",O12)-1)))*24-1,0))</f>
        <v/>
      </c>
      <c r="P28" s="5">
        <f>IF(P12="",0,IFERROR((TIMEVALUE(MID(P12,FIND("-",P12)+1,10))-TIMEVALUE(LEFT(P12,FIND("-",P12)-1)))*24-1,0))</f>
        <v/>
      </c>
      <c r="Q28" s="5">
        <f>IF(Q12="",0,IFERROR((TIMEVALUE(MID(Q12,FIND("-",Q12)+1,10))-TIMEVALUE(LEFT(Q12,FIND("-",Q12)-1)))*24-1,0))</f>
        <v/>
      </c>
      <c r="R28" s="5">
        <f>IF(R12="",0,IFERROR((TIMEVALUE(MID(R12,FIND("-",R12)+1,10))-TIMEVALUE(LEFT(R12,FIND("-",R12)-1)))*24-1,0))</f>
        <v/>
      </c>
      <c r="S28" s="5">
        <f>IF(S12="",0,IFERROR((TIMEVALUE(MID(S12,FIND("-",S12)+1,10))-TIMEVALUE(LEFT(S12,FIND("-",S12)-1)))*24-1,0))</f>
        <v/>
      </c>
      <c r="T28" s="5">
        <f>IF(T12="",0,IFERROR((TIMEVALUE(MID(T12,FIND("-",T12)+1,10))-TIMEVALUE(LEFT(T12,FIND("-",T12)-1)))*24,0))</f>
        <v/>
      </c>
      <c r="U28" s="5">
        <f>IF(U12="",0,IFERROR((TIMEVALUE(MID(U12,FIND("-",U12)+1,10))-TIMEVALUE(LEFT(U12,FIND("-",U12)-1)))*24-1,0))</f>
        <v/>
      </c>
      <c r="V28" s="5">
        <f>IF(V12="",0,IFERROR((TIMEVALUE(MID(V12,FIND("-",V12)+1,10))-TIMEVALUE(LEFT(V12,FIND("-",V12)-1)))*24-1,0))</f>
        <v/>
      </c>
      <c r="W28" s="5">
        <f>IF(W12="",0,IFERROR((TIMEVALUE(MID(W12,FIND("-",W12)+1,10))-TIMEVALUE(LEFT(W12,FIND("-",W12)-1)))*24-1,0))</f>
        <v/>
      </c>
      <c r="X28" s="5">
        <f>IF(X12="",0,IFERROR((TIMEVALUE(MID(X12,FIND("-",X12)+1,10))-TIMEVALUE(LEFT(X12,FIND("-",X12)-1)))*24-1,0))</f>
        <v/>
      </c>
      <c r="Y28" s="5">
        <f>IF(Y12="",0,IFERROR((TIMEVALUE(MID(Y12,FIND("-",Y12)+1,10))-TIMEVALUE(LEFT(Y12,FIND("-",Y12)-1)))*24-1,0))</f>
        <v/>
      </c>
      <c r="Z28" s="5">
        <f>IF(Z12="",0,IFERROR((TIMEVALUE(MID(Z12,FIND("-",Z12)+1,10))-TIMEVALUE(LEFT(Z12,FIND("-",Z12)-1)))*24-1,0))</f>
        <v/>
      </c>
      <c r="AA28" s="5">
        <f>IF(AA12="",0,IFERROR((TIMEVALUE(MID(AA12,FIND("-",AA12)+1,10))-TIMEVALUE(LEFT(AA12,FIND("-",AA12)-1)))*24,0))</f>
        <v/>
      </c>
      <c r="AB28" s="5">
        <f>IF(AB12="",0,IFERROR((TIMEVALUE(MID(AB12,FIND("-",AB12)+1,10))-TIMEVALUE(LEFT(AB12,FIND("-",AB12)-1)))*24-1,0))</f>
        <v/>
      </c>
      <c r="AC28" s="5">
        <f>IF(AC12="",0,IFERROR((TIMEVALUE(MID(AC12,FIND("-",AC12)+1,10))-TIMEVALUE(LEFT(AC12,FIND("-",AC12)-1)))*24-1,0))</f>
        <v/>
      </c>
      <c r="AD28" s="5">
        <f>IF(AD12="",0,IFERROR((TIMEVALUE(MID(AD12,FIND("-",AD12)+1,10))-TIMEVALUE(LEFT(AD12,FIND("-",AD12)-1)))*24-1,0))</f>
        <v/>
      </c>
      <c r="AE28" s="5">
        <f>IF(AE12="",0,IFERROR((TIMEVALUE(MID(AE12,FIND("-",AE12)+1,10))-TIMEVALUE(LEFT(AE12,FIND("-",AE12)-1)))*24-1,0))</f>
        <v/>
      </c>
      <c r="AF28" s="5">
        <f>IF(AF12="",0,IFERROR((TIMEVALUE(MID(AF12,FIND("-",AF12)+1,10))-TIMEVALUE(LEFT(AF12,FIND("-",AF12)-1)))*24-1,0))</f>
        <v/>
      </c>
      <c r="AG28" s="5">
        <f>IF(AG12="",0,IFERROR((TIMEVALUE(MID(AG12,FIND("-",AG12)+1,10))-TIMEVALUE(LEFT(AG12,FIND("-",AG12)-1)))*24-1,0))</f>
        <v/>
      </c>
      <c r="AH28" s="5">
        <f>IF(AH12="",0,IFERROR((TIMEVALUE(MID(AH12,FIND("-",AH12)+1,10))-TIMEVALUE(LEFT(AH12,FIND("-",AH12)-1)))*24,0))</f>
        <v/>
      </c>
      <c r="AI28" s="5">
        <f>SUM(D28:F28)</f>
        <v/>
      </c>
      <c r="AJ28" s="5">
        <f>SUM(H28:M28)</f>
        <v/>
      </c>
      <c r="AK28" s="5">
        <f>SUM(O28:T28)</f>
        <v/>
      </c>
      <c r="AL28" s="5">
        <f>SUM(V28:AA28)</f>
        <v/>
      </c>
      <c r="AM28" s="5">
        <f>SUM(AC28:AH28)</f>
        <v/>
      </c>
      <c r="AN28" s="5">
        <f>SUM(AI28:AM28)</f>
        <v/>
      </c>
      <c r="AO28" s="5">
        <f>AN28*2</f>
        <v/>
      </c>
    </row>
    <row r="29" ht="15" customHeight="1">
      <c r="A29" s="9">
        <f>A13</f>
        <v/>
      </c>
      <c r="B29" s="5">
        <f>B13</f>
        <v/>
      </c>
      <c r="C29" s="5">
        <f>C13</f>
        <v/>
      </c>
      <c r="D29" s="5">
        <f>IF(D13="",0,IFERROR((TIMEVALUE(MID(D13,FIND("-",D13)+1,10))-TIMEVALUE(LEFT(D13,FIND("-",D13)-1)))*24-1,0))</f>
        <v/>
      </c>
      <c r="E29" s="5">
        <f>IF(E13="",0,IFERROR((TIMEVALUE(MID(E13,FIND("-",E13)+1,10))-TIMEVALUE(LEFT(E13,FIND("-",E13)-1)))*24-1,0))</f>
        <v/>
      </c>
      <c r="F29" s="5">
        <f>IF(F13="",0,IFERROR((TIMEVALUE(MID(F13,FIND("-",F13)+1,10))-TIMEVALUE(LEFT(F13,FIND("-",F13)-1)))*24,0))</f>
        <v/>
      </c>
      <c r="G29" s="5">
        <f>IF(G13="",0,IFERROR((TIMEVALUE(MID(G13,FIND("-",G13)+1,10))-TIMEVALUE(LEFT(G13,FIND("-",G13)-1)))*24-1,0))</f>
        <v/>
      </c>
      <c r="H29" s="5">
        <f>IF(H13="",0,IFERROR((TIMEVALUE(MID(H13,FIND("-",H13)+1,10))-TIMEVALUE(LEFT(H13,FIND("-",H13)-1)))*24-1,0))</f>
        <v/>
      </c>
      <c r="I29" s="5">
        <f>IF(I13="",0,IFERROR((TIMEVALUE(MID(I13,FIND("-",I13)+1,10))-TIMEVALUE(LEFT(I13,FIND("-",I13)-1)))*24-1,0))</f>
        <v/>
      </c>
      <c r="J29" s="5">
        <f>IF(J13="",0,IFERROR((TIMEVALUE(MID(J13,FIND("-",J13)+1,10))-TIMEVALUE(LEFT(J13,FIND("-",J13)-1)))*24-1,0))</f>
        <v/>
      </c>
      <c r="K29" s="5">
        <f>IF(K13="",0,IFERROR((TIMEVALUE(MID(K13,FIND("-",K13)+1,10))-TIMEVALUE(LEFT(K13,FIND("-",K13)-1)))*24-1,0))</f>
        <v/>
      </c>
      <c r="L29" s="5">
        <f>IF(L13="",0,IFERROR((TIMEVALUE(MID(L13,FIND("-",L13)+1,10))-TIMEVALUE(LEFT(L13,FIND("-",L13)-1)))*24-1,0))</f>
        <v/>
      </c>
      <c r="M29" s="5">
        <f>IF(M13="",0,IFERROR((TIMEVALUE(MID(M13,FIND("-",M13)+1,10))-TIMEVALUE(LEFT(M13,FIND("-",M13)-1)))*24,0))</f>
        <v/>
      </c>
      <c r="N29" s="5">
        <f>IF(N13="",0,IFERROR((TIMEVALUE(MID(N13,FIND("-",N13)+1,10))-TIMEVALUE(LEFT(N13,FIND("-",N13)-1)))*24-1,0))</f>
        <v/>
      </c>
      <c r="O29" s="5">
        <f>IF(O13="",0,IFERROR((TIMEVALUE(MID(O13,FIND("-",O13)+1,10))-TIMEVALUE(LEFT(O13,FIND("-",O13)-1)))*24-1,0))</f>
        <v/>
      </c>
      <c r="P29" s="5">
        <f>IF(P13="",0,IFERROR((TIMEVALUE(MID(P13,FIND("-",P13)+1,10))-TIMEVALUE(LEFT(P13,FIND("-",P13)-1)))*24-1,0))</f>
        <v/>
      </c>
      <c r="Q29" s="5">
        <f>IF(Q13="",0,IFERROR((TIMEVALUE(MID(Q13,FIND("-",Q13)+1,10))-TIMEVALUE(LEFT(Q13,FIND("-",Q13)-1)))*24-1,0))</f>
        <v/>
      </c>
      <c r="R29" s="5">
        <f>IF(R13="",0,IFERROR((TIMEVALUE(MID(R13,FIND("-",R13)+1,10))-TIMEVALUE(LEFT(R13,FIND("-",R13)-1)))*24-1,0))</f>
        <v/>
      </c>
      <c r="S29" s="5">
        <f>IF(S13="",0,IFERROR((TIMEVALUE(MID(S13,FIND("-",S13)+1,10))-TIMEVALUE(LEFT(S13,FIND("-",S13)-1)))*24-1,0))</f>
        <v/>
      </c>
      <c r="T29" s="5">
        <f>IF(T13="",0,IFERROR((TIMEVALUE(MID(T13,FIND("-",T13)+1,10))-TIMEVALUE(LEFT(T13,FIND("-",T13)-1)))*24,0))</f>
        <v/>
      </c>
      <c r="U29" s="5">
        <f>IF(U13="",0,IFERROR((TIMEVALUE(MID(U13,FIND("-",U13)+1,10))-TIMEVALUE(LEFT(U13,FIND("-",U13)-1)))*24-1,0))</f>
        <v/>
      </c>
      <c r="V29" s="5">
        <f>IF(V13="",0,IFERROR((TIMEVALUE(MID(V13,FIND("-",V13)+1,10))-TIMEVALUE(LEFT(V13,FIND("-",V13)-1)))*24-1,0))</f>
        <v/>
      </c>
      <c r="W29" s="5">
        <f>IF(W13="",0,IFERROR((TIMEVALUE(MID(W13,FIND("-",W13)+1,10))-TIMEVALUE(LEFT(W13,FIND("-",W13)-1)))*24-1,0))</f>
        <v/>
      </c>
      <c r="X29" s="5">
        <f>IF(X13="",0,IFERROR((TIMEVALUE(MID(X13,FIND("-",X13)+1,10))-TIMEVALUE(LEFT(X13,FIND("-",X13)-1)))*24-1,0))</f>
        <v/>
      </c>
      <c r="Y29" s="5">
        <f>IF(Y13="",0,IFERROR((TIMEVALUE(MID(Y13,FIND("-",Y13)+1,10))-TIMEVALUE(LEFT(Y13,FIND("-",Y13)-1)))*24-1,0))</f>
        <v/>
      </c>
      <c r="Z29" s="5">
        <f>IF(Z13="",0,IFERROR((TIMEVALUE(MID(Z13,FIND("-",Z13)+1,10))-TIMEVALUE(LEFT(Z13,FIND("-",Z13)-1)))*24-1,0))</f>
        <v/>
      </c>
      <c r="AA29" s="5">
        <f>IF(AA13="",0,IFERROR((TIMEVALUE(MID(AA13,FIND("-",AA13)+1,10))-TIMEVALUE(LEFT(AA13,FIND("-",AA13)-1)))*24,0))</f>
        <v/>
      </c>
      <c r="AB29" s="5">
        <f>IF(AB13="",0,IFERROR((TIMEVALUE(MID(AB13,FIND("-",AB13)+1,10))-TIMEVALUE(LEFT(AB13,FIND("-",AB13)-1)))*24-1,0))</f>
        <v/>
      </c>
      <c r="AC29" s="5">
        <f>IF(AC13="",0,IFERROR((TIMEVALUE(MID(AC13,FIND("-",AC13)+1,10))-TIMEVALUE(LEFT(AC13,FIND("-",AC13)-1)))*24-1,0))</f>
        <v/>
      </c>
      <c r="AD29" s="5">
        <f>IF(AD13="",0,IFERROR((TIMEVALUE(MID(AD13,FIND("-",AD13)+1,10))-TIMEVALUE(LEFT(AD13,FIND("-",AD13)-1)))*24-1,0))</f>
        <v/>
      </c>
      <c r="AE29" s="5">
        <f>IF(AE13="",0,IFERROR((TIMEVALUE(MID(AE13,FIND("-",AE13)+1,10))-TIMEVALUE(LEFT(AE13,FIND("-",AE13)-1)))*24-1,0))</f>
        <v/>
      </c>
      <c r="AF29" s="5">
        <f>IF(AF13="",0,IFERROR((TIMEVALUE(MID(AF13,FIND("-",AF13)+1,10))-TIMEVALUE(LEFT(AF13,FIND("-",AF13)-1)))*24-1,0))</f>
        <v/>
      </c>
      <c r="AG29" s="5">
        <f>IF(AG13="",0,IFERROR((TIMEVALUE(MID(AG13,FIND("-",AG13)+1,10))-TIMEVALUE(LEFT(AG13,FIND("-",AG13)-1)))*24-1,0))</f>
        <v/>
      </c>
      <c r="AH29" s="5">
        <f>IF(AH13="",0,IFERROR((TIMEVALUE(MID(AH13,FIND("-",AH13)+1,10))-TIMEVALUE(LEFT(AH13,FIND("-",AH13)-1)))*24,0))</f>
        <v/>
      </c>
      <c r="AI29" s="5">
        <f>SUM(D29:F29)</f>
        <v/>
      </c>
      <c r="AJ29" s="5">
        <f>SUM(H29:M29)</f>
        <v/>
      </c>
      <c r="AK29" s="5">
        <f>SUM(O29:T29)</f>
        <v/>
      </c>
      <c r="AL29" s="5">
        <f>SUM(V29:AA29)</f>
        <v/>
      </c>
      <c r="AM29" s="5">
        <f>SUM(AC29:AH29)</f>
        <v/>
      </c>
      <c r="AN29" s="5">
        <f>SUM(AI29:AM29)</f>
        <v/>
      </c>
      <c r="AO29" s="5">
        <f>AN29</f>
        <v/>
      </c>
    </row>
    <row r="30" ht="15" customHeight="1">
      <c r="A30" s="9">
        <f>A14</f>
        <v/>
      </c>
      <c r="B30" s="5">
        <f>B14</f>
        <v/>
      </c>
      <c r="C30" s="5">
        <f>C14</f>
        <v/>
      </c>
      <c r="D30" s="5">
        <f>IF(D14="",0,IFERROR((TIMEVALUE(MID(D14,FIND("-",D14)+1,10))-TIMEVALUE(LEFT(D14,FIND("-",D14)-1)))*24-1,0))</f>
        <v/>
      </c>
      <c r="E30" s="5">
        <f>IF(E14="",0,IFERROR((TIMEVALUE(MID(E14,FIND("-",E14)+1,10))-TIMEVALUE(LEFT(E14,FIND("-",E14)-1)))*24-1,0))</f>
        <v/>
      </c>
      <c r="F30" s="5">
        <f>IF(F14="",0,IFERROR((TIMEVALUE(MID(F14,FIND("-",F14)+1,10))-TIMEVALUE(LEFT(F14,FIND("-",F14)-1)))*24,0))</f>
        <v/>
      </c>
      <c r="G30" s="5">
        <f>IF(G14="",0,IFERROR((TIMEVALUE(MID(G14,FIND("-",G14)+1,10))-TIMEVALUE(LEFT(G14,FIND("-",G14)-1)))*24-1,0))</f>
        <v/>
      </c>
      <c r="H30" s="5">
        <f>IF(H14="",0,IFERROR((TIMEVALUE(MID(H14,FIND("-",H14)+1,10))-TIMEVALUE(LEFT(H14,FIND("-",H14)-1)))*24-1,0))</f>
        <v/>
      </c>
      <c r="I30" s="5">
        <f>IF(I14="",0,IFERROR((TIMEVALUE(MID(I14,FIND("-",I14)+1,10))-TIMEVALUE(LEFT(I14,FIND("-",I14)-1)))*24-1,0))</f>
        <v/>
      </c>
      <c r="J30" s="5">
        <f>IF(J14="",0,IFERROR((TIMEVALUE(MID(J14,FIND("-",J14)+1,10))-TIMEVALUE(LEFT(J14,FIND("-",J14)-1)))*24-1,0))</f>
        <v/>
      </c>
      <c r="K30" s="5">
        <f>IF(K14="",0,IFERROR((TIMEVALUE(MID(K14,FIND("-",K14)+1,10))-TIMEVALUE(LEFT(K14,FIND("-",K14)-1)))*24-1,0))</f>
        <v/>
      </c>
      <c r="L30" s="5">
        <f>IF(L14="",0,IFERROR((TIMEVALUE(MID(L14,FIND("-",L14)+1,10))-TIMEVALUE(LEFT(L14,FIND("-",L14)-1)))*24-1,0))</f>
        <v/>
      </c>
      <c r="M30" s="5">
        <f>IF(M14="",0,IFERROR((TIMEVALUE(MID(M14,FIND("-",M14)+1,10))-TIMEVALUE(LEFT(M14,FIND("-",M14)-1)))*24,0))</f>
        <v/>
      </c>
      <c r="N30" s="5">
        <f>IF(N14="",0,IFERROR((TIMEVALUE(MID(N14,FIND("-",N14)+1,10))-TIMEVALUE(LEFT(N14,FIND("-",N14)-1)))*24-1,0))</f>
        <v/>
      </c>
      <c r="O30" s="5">
        <f>IF(O14="",0,IFERROR((TIMEVALUE(MID(O14,FIND("-",O14)+1,10))-TIMEVALUE(LEFT(O14,FIND("-",O14)-1)))*24-1,0))</f>
        <v/>
      </c>
      <c r="P30" s="5">
        <f>IF(P14="",0,IFERROR((TIMEVALUE(MID(P14,FIND("-",P14)+1,10))-TIMEVALUE(LEFT(P14,FIND("-",P14)-1)))*24-1,0))</f>
        <v/>
      </c>
      <c r="Q30" s="5">
        <f>IF(Q14="",0,IFERROR((TIMEVALUE(MID(Q14,FIND("-",Q14)+1,10))-TIMEVALUE(LEFT(Q14,FIND("-",Q14)-1)))*24-1,0))</f>
        <v/>
      </c>
      <c r="R30" s="5">
        <f>IF(R14="",0,IFERROR((TIMEVALUE(MID(R14,FIND("-",R14)+1,10))-TIMEVALUE(LEFT(R14,FIND("-",R14)-1)))*24-1,0))</f>
        <v/>
      </c>
      <c r="S30" s="5">
        <f>IF(S14="",0,IFERROR((TIMEVALUE(MID(S14,FIND("-",S14)+1,10))-TIMEVALUE(LEFT(S14,FIND("-",S14)-1)))*24-1,0))</f>
        <v/>
      </c>
      <c r="T30" s="5">
        <f>IF(T14="",0,IFERROR((TIMEVALUE(MID(T14,FIND("-",T14)+1,10))-TIMEVALUE(LEFT(T14,FIND("-",T14)-1)))*24,0))</f>
        <v/>
      </c>
      <c r="U30" s="5">
        <f>IF(U14="",0,IFERROR((TIMEVALUE(MID(U14,FIND("-",U14)+1,10))-TIMEVALUE(LEFT(U14,FIND("-",U14)-1)))*24-1,0))</f>
        <v/>
      </c>
      <c r="V30" s="5">
        <f>IF(V14="",0,IFERROR((TIMEVALUE(MID(V14,FIND("-",V14)+1,10))-TIMEVALUE(LEFT(V14,FIND("-",V14)-1)))*24-1,0))</f>
        <v/>
      </c>
      <c r="W30" s="5">
        <f>IF(W14="",0,IFERROR((TIMEVALUE(MID(W14,FIND("-",W14)+1,10))-TIMEVALUE(LEFT(W14,FIND("-",W14)-1)))*24-1,0))</f>
        <v/>
      </c>
      <c r="X30" s="5">
        <f>IF(X14="",0,IFERROR((TIMEVALUE(MID(X14,FIND("-",X14)+1,10))-TIMEVALUE(LEFT(X14,FIND("-",X14)-1)))*24-1,0))</f>
        <v/>
      </c>
      <c r="Y30" s="5">
        <f>IF(Y14="",0,IFERROR((TIMEVALUE(MID(Y14,FIND("-",Y14)+1,10))-TIMEVALUE(LEFT(Y14,FIND("-",Y14)-1)))*24-1,0))</f>
        <v/>
      </c>
      <c r="Z30" s="5">
        <f>IF(Z14="",0,IFERROR((TIMEVALUE(MID(Z14,FIND("-",Z14)+1,10))-TIMEVALUE(LEFT(Z14,FIND("-",Z14)-1)))*24-1,0))</f>
        <v/>
      </c>
      <c r="AA30" s="5">
        <f>IF(AA14="",0,IFERROR((TIMEVALUE(MID(AA14,FIND("-",AA14)+1,10))-TIMEVALUE(LEFT(AA14,FIND("-",AA14)-1)))*24,0))</f>
        <v/>
      </c>
      <c r="AB30" s="5">
        <f>IF(AB14="",0,IFERROR((TIMEVALUE(MID(AB14,FIND("-",AB14)+1,10))-TIMEVALUE(LEFT(AB14,FIND("-",AB14)-1)))*24-1,0))</f>
        <v/>
      </c>
      <c r="AC30" s="5">
        <f>IF(AC14="",0,IFERROR((TIMEVALUE(MID(AC14,FIND("-",AC14)+1,10))-TIMEVALUE(LEFT(AC14,FIND("-",AC14)-1)))*24-1,0))</f>
        <v/>
      </c>
      <c r="AD30" s="5">
        <f>IF(AD14="",0,IFERROR((TIMEVALUE(MID(AD14,FIND("-",AD14)+1,10))-TIMEVALUE(LEFT(AD14,FIND("-",AD14)-1)))*24-1,0))</f>
        <v/>
      </c>
      <c r="AE30" s="5">
        <f>IF(AE14="",0,IFERROR((TIMEVALUE(MID(AE14,FIND("-",AE14)+1,10))-TIMEVALUE(LEFT(AE14,FIND("-",AE14)-1)))*24-1,0))</f>
        <v/>
      </c>
      <c r="AF30" s="5">
        <f>IF(AF14="",0,IFERROR((TIMEVALUE(MID(AF14,FIND("-",AF14)+1,10))-TIMEVALUE(LEFT(AF14,FIND("-",AF14)-1)))*24-1,0))</f>
        <v/>
      </c>
      <c r="AG30" s="5">
        <f>IF(AG14="",0,IFERROR((TIMEVALUE(MID(AG14,FIND("-",AG14)+1,10))-TIMEVALUE(LEFT(AG14,FIND("-",AG14)-1)))*24-1,0))</f>
        <v/>
      </c>
      <c r="AH30" s="5">
        <f>IF(AH14="",0,IFERROR((TIMEVALUE(MID(AH14,FIND("-",AH14)+1,10))-TIMEVALUE(LEFT(AH14,FIND("-",AH14)-1)))*24,0))</f>
        <v/>
      </c>
      <c r="AI30" s="5">
        <f>SUM(D30:F30)</f>
        <v/>
      </c>
      <c r="AJ30" s="5">
        <f>SUM(H30:M30)</f>
        <v/>
      </c>
      <c r="AK30" s="5">
        <f>SUM(O30:T30)</f>
        <v/>
      </c>
      <c r="AL30" s="5">
        <f>SUM(V30:AA30)</f>
        <v/>
      </c>
      <c r="AM30" s="5">
        <f>SUM(AC30:AH30)</f>
        <v/>
      </c>
      <c r="AN30" s="5">
        <f>SUM(AI30:AM30)</f>
        <v/>
      </c>
      <c r="AO30" s="5">
        <f>AN30*2</f>
        <v/>
      </c>
    </row>
    <row r="31" ht="15" customHeight="1">
      <c r="A31" s="9">
        <f>A15</f>
        <v/>
      </c>
      <c r="B31" s="5">
        <f>B15</f>
        <v/>
      </c>
      <c r="C31" s="5">
        <f>C15</f>
        <v/>
      </c>
      <c r="D31" s="5">
        <f>IF(D15="",0,IFERROR((TIMEVALUE(MID(D15,FIND("-",D15)+1,10))-TIMEVALUE(LEFT(D15,FIND("-",D15)-1)))*24,0))</f>
        <v/>
      </c>
      <c r="E31" s="5">
        <f>IF(E15="",0,IFERROR((TIMEVALUE(MID(E15,FIND("-",E15)+1,10))-TIMEVALUE(LEFT(E15,FIND("-",E15)-1)))*24,0))</f>
        <v/>
      </c>
      <c r="F31" s="5">
        <f>IF(F15="",0,IFERROR((TIMEVALUE(MID(F15,FIND("-",F15)+1,10))-TIMEVALUE(LEFT(F15,FIND("-",F15)-1)))*24,0))</f>
        <v/>
      </c>
      <c r="G31" s="5">
        <f>IF(G15="",0,IFERROR((TIMEVALUE(MID(G15,FIND("-",G15)+1,10))-TIMEVALUE(LEFT(G15,FIND("-",G15)-1)))*24,0))</f>
        <v/>
      </c>
      <c r="H31" s="5">
        <f>IF(H15="",0,IFERROR((TIMEVALUE(MID(H15,FIND("-",H15)+1,10))-TIMEVALUE(LEFT(H15,FIND("-",H15)-1)))*24,0))</f>
        <v/>
      </c>
      <c r="I31" s="5">
        <f>IF(I15="",0,IFERROR((TIMEVALUE(MID(I15,FIND("-",I15)+1,10))-TIMEVALUE(LEFT(I15,FIND("-",I15)-1)))*24,0))</f>
        <v/>
      </c>
      <c r="J31" s="5">
        <f>IF(J15="",0,IFERROR((TIMEVALUE(MID(J15,FIND("-",J15)+1,10))-TIMEVALUE(LEFT(J15,FIND("-",J15)-1)))*24,0))</f>
        <v/>
      </c>
      <c r="K31" s="5">
        <f>IF(K15="",0,IFERROR((TIMEVALUE(MID(K15,FIND("-",K15)+1,10))-TIMEVALUE(LEFT(K15,FIND("-",K15)-1)))*24,0))</f>
        <v/>
      </c>
      <c r="L31" s="5">
        <f>IF(L15="",0,IFERROR((TIMEVALUE(MID(L15,FIND("-",L15)+1,10))-TIMEVALUE(LEFT(L15,FIND("-",L15)-1)))*24,0))</f>
        <v/>
      </c>
      <c r="M31" s="5">
        <f>IF(M15="",0,IFERROR((TIMEVALUE(MID(M15,FIND("-",M15)+1,10))-TIMEVALUE(LEFT(M15,FIND("-",M15)-1)))*24,0))</f>
        <v/>
      </c>
      <c r="N31" s="5">
        <f>IF(N15="",0,IFERROR((TIMEVALUE(MID(N15,FIND("-",N15)+1,10))-TIMEVALUE(LEFT(N15,FIND("-",N15)-1)))*24,0))</f>
        <v/>
      </c>
      <c r="O31" s="5">
        <f>IF(O15="",0,IFERROR((TIMEVALUE(MID(O15,FIND("-",O15)+1,10))-TIMEVALUE(LEFT(O15,FIND("-",O15)-1)))*24,0))</f>
        <v/>
      </c>
      <c r="P31" s="5">
        <f>IF(P15="",0,IFERROR((TIMEVALUE(MID(P15,FIND("-",P15)+1,10))-TIMEVALUE(LEFT(P15,FIND("-",P15)-1)))*24,0))</f>
        <v/>
      </c>
      <c r="Q31" s="5">
        <f>IF(Q15="",0,IFERROR((TIMEVALUE(MID(Q15,FIND("-",Q15)+1,10))-TIMEVALUE(LEFT(Q15,FIND("-",Q15)-1)))*24,0))</f>
        <v/>
      </c>
      <c r="R31" s="5">
        <f>IF(R15="",0,IFERROR((TIMEVALUE(MID(R15,FIND("-",R15)+1,10))-TIMEVALUE(LEFT(R15,FIND("-",R15)-1)))*24,0))</f>
        <v/>
      </c>
      <c r="S31" s="5">
        <f>IF(S15="",0,IFERROR((TIMEVALUE(MID(S15,FIND("-",S15)+1,10))-TIMEVALUE(LEFT(S15,FIND("-",S15)-1)))*24,0))</f>
        <v/>
      </c>
      <c r="T31" s="5">
        <f>IF(T15="",0,IFERROR((TIMEVALUE(MID(T15,FIND("-",T15)+1,10))-TIMEVALUE(LEFT(T15,FIND("-",T15)-1)))*24,0))</f>
        <v/>
      </c>
      <c r="U31" s="5">
        <f>IF(U15="",0,IFERROR((TIMEVALUE(MID(U15,FIND("-",U15)+1,10))-TIMEVALUE(LEFT(U15,FIND("-",U15)-1)))*24,0))</f>
        <v/>
      </c>
      <c r="V31" s="5">
        <f>IF(V15="",0,IFERROR((TIMEVALUE(MID(V15,FIND("-",V15)+1,10))-TIMEVALUE(LEFT(V15,FIND("-",V15)-1)))*24,0))</f>
        <v/>
      </c>
      <c r="W31" s="5">
        <f>IF(W15="",0,IFERROR((TIMEVALUE(MID(W15,FIND("-",W15)+1,10))-TIMEVALUE(LEFT(W15,FIND("-",W15)-1)))*24,0))</f>
        <v/>
      </c>
      <c r="X31" s="5">
        <f>IF(X15="",0,IFERROR((TIMEVALUE(MID(X15,FIND("-",X15)+1,10))-TIMEVALUE(LEFT(X15,FIND("-",X15)-1)))*24,0))</f>
        <v/>
      </c>
      <c r="Y31" s="5">
        <f>IF(Y15="",0,IFERROR((TIMEVALUE(MID(Y15,FIND("-",Y15)+1,10))-TIMEVALUE(LEFT(Y15,FIND("-",Y15)-1)))*24,0))</f>
        <v/>
      </c>
      <c r="Z31" s="5">
        <f>IF(Z15="",0,IFERROR((TIMEVALUE(MID(Z15,FIND("-",Z15)+1,10))-TIMEVALUE(LEFT(Z15,FIND("-",Z15)-1)))*24,0))</f>
        <v/>
      </c>
      <c r="AA31" s="5">
        <f>IF(AA15="",0,IFERROR((TIMEVALUE(MID(AA15,FIND("-",AA15)+1,10))-TIMEVALUE(LEFT(AA15,FIND("-",AA15)-1)))*24,0))</f>
        <v/>
      </c>
      <c r="AB31" s="5">
        <f>IF(AB15="",0,IFERROR((TIMEVALUE(MID(AB15,FIND("-",AB15)+1,10))-TIMEVALUE(LEFT(AB15,FIND("-",AB15)-1)))*24,0))</f>
        <v/>
      </c>
      <c r="AC31" s="5">
        <f>IF(AC15="",0,IFERROR((TIMEVALUE(MID(AC15,FIND("-",AC15)+1,10))-TIMEVALUE(LEFT(AC15,FIND("-",AC15)-1)))*24,0))</f>
        <v/>
      </c>
      <c r="AD31" s="5">
        <f>IF(AD15="",0,IFERROR((TIMEVALUE(MID(AD15,FIND("-",AD15)+1,10))-TIMEVALUE(LEFT(AD15,FIND("-",AD15)-1)))*24,0))</f>
        <v/>
      </c>
      <c r="AE31" s="5">
        <f>IF(AE15="",0,IFERROR((TIMEVALUE(MID(AE15,FIND("-",AE15)+1,10))-TIMEVALUE(LEFT(AE15,FIND("-",AE15)-1)))*24,0))</f>
        <v/>
      </c>
      <c r="AF31" s="5">
        <f>IF(AF15="",0,IFERROR((TIMEVALUE(MID(AF15,FIND("-",AF15)+1,10))-TIMEVALUE(LEFT(AF15,FIND("-",AF15)-1)))*24,0))</f>
        <v/>
      </c>
      <c r="AG31" s="5">
        <f>IF(AG15="",0,IFERROR((TIMEVALUE(MID(AG15,FIND("-",AG15)+1,10))-TIMEVALUE(LEFT(AG15,FIND("-",AG15)-1)))*24,0))</f>
        <v/>
      </c>
      <c r="AH31" s="5">
        <f>IF(AH15="",0,IFERROR((TIMEVALUE(MID(AH15,FIND("-",AH15)+1,10))-TIMEVALUE(LEFT(AH15,FIND("-",AH15)-1)))*24,0))</f>
        <v/>
      </c>
      <c r="AI31" s="5">
        <f>SUM(D31:F31)</f>
        <v/>
      </c>
      <c r="AJ31" s="5">
        <f>SUM(H31:M31)</f>
        <v/>
      </c>
      <c r="AK31" s="5">
        <f>SUM(O31:T31)</f>
        <v/>
      </c>
      <c r="AL31" s="5">
        <f>SUM(V31:AA31)</f>
        <v/>
      </c>
      <c r="AM31" s="5">
        <f>SUM(AC31:AH31)</f>
        <v/>
      </c>
      <c r="AN31" s="5">
        <f>SUM(AI31:AM31)</f>
        <v/>
      </c>
      <c r="AO31" s="5">
        <f>AN31*2</f>
        <v/>
      </c>
    </row>
    <row r="32" ht="15" customHeight="1"/>
    <row r="33" ht="15" customHeight="1">
      <c r="A33" s="1" t="inlineStr">
        <is>
          <t>Max Horas</t>
        </is>
      </c>
      <c r="B33" s="1" t="inlineStr">
        <is>
          <t>L-V</t>
        </is>
      </c>
      <c r="C33" s="1" t="inlineStr">
        <is>
          <t>S</t>
        </is>
      </c>
    </row>
    <row r="34" ht="15" customHeight="1">
      <c r="A34" s="9">
        <f>A18</f>
        <v/>
      </c>
      <c r="B34" s="5" t="n">
        <v>39.5</v>
      </c>
      <c r="C34" s="5" t="n">
        <v>2.5</v>
      </c>
    </row>
    <row r="35" ht="15" customHeight="1">
      <c r="A35" s="9">
        <f>A19</f>
        <v/>
      </c>
      <c r="B35" s="5" t="n">
        <v>20</v>
      </c>
      <c r="C35" s="5" t="n">
        <v>2</v>
      </c>
    </row>
    <row r="36" ht="15" customHeight="1">
      <c r="A36" s="9">
        <f>A20</f>
        <v/>
      </c>
      <c r="B36" s="5" t="n">
        <v>39.5</v>
      </c>
      <c r="C36" s="5" t="n">
        <v>2.5</v>
      </c>
    </row>
    <row r="37" ht="15" customHeight="1">
      <c r="A37" s="9">
        <f>A21</f>
        <v/>
      </c>
      <c r="B37" s="5" t="n">
        <v>39</v>
      </c>
      <c r="C37" s="5" t="n">
        <v>3</v>
      </c>
    </row>
    <row r="38" ht="15" customHeight="1">
      <c r="A38" s="9">
        <f>A22</f>
        <v/>
      </c>
      <c r="B38" s="5" t="n">
        <v>39</v>
      </c>
      <c r="C38" s="5" t="n">
        <v>3</v>
      </c>
    </row>
    <row r="39" ht="15" customHeight="1">
      <c r="A39" s="9">
        <f>A23</f>
        <v/>
      </c>
      <c r="B39" s="5" t="n">
        <v>40</v>
      </c>
      <c r="C39" s="5" t="n">
        <v>2</v>
      </c>
    </row>
    <row r="40" ht="15" customHeight="1">
      <c r="A40" s="9">
        <f>A24</f>
        <v/>
      </c>
      <c r="B40" s="5" t="n">
        <v>39</v>
      </c>
      <c r="C40" s="5" t="n">
        <v>3</v>
      </c>
    </row>
    <row r="41" ht="15" customHeight="1">
      <c r="A41" s="9">
        <f>A25</f>
        <v/>
      </c>
      <c r="B41" s="5" t="n">
        <v>39</v>
      </c>
      <c r="C41" s="5" t="n">
        <v>3</v>
      </c>
    </row>
    <row r="42" ht="15" customHeight="1">
      <c r="A42" s="9">
        <f>A26</f>
        <v/>
      </c>
      <c r="B42" s="5" t="n">
        <v>40</v>
      </c>
      <c r="C42" s="5" t="n">
        <v>2</v>
      </c>
    </row>
    <row r="43" ht="15" customHeight="1">
      <c r="A43" s="9">
        <f>A27</f>
        <v/>
      </c>
      <c r="B43" s="5" t="n">
        <v>40</v>
      </c>
      <c r="C43" s="5" t="n">
        <v>2</v>
      </c>
    </row>
    <row r="44" ht="15" customHeight="1">
      <c r="A44" s="9">
        <f>A28</f>
        <v/>
      </c>
      <c r="B44" s="5" t="n">
        <v>38</v>
      </c>
      <c r="C44" s="5" t="n">
        <v>4</v>
      </c>
    </row>
    <row r="45" ht="15" customHeight="1">
      <c r="A45" s="9">
        <f>A29</f>
        <v/>
      </c>
      <c r="B45" s="5" t="n">
        <v>40</v>
      </c>
      <c r="C45" s="5" t="n">
        <v>2</v>
      </c>
    </row>
    <row r="46" ht="15" customHeight="1">
      <c r="A46" s="9">
        <f>A30</f>
        <v/>
      </c>
      <c r="B46" s="5" t="n">
        <v>40</v>
      </c>
      <c r="C46" s="5" t="n">
        <v>2</v>
      </c>
    </row>
    <row r="47" ht="15" customHeight="1">
      <c r="A47" s="9">
        <f>A31</f>
        <v/>
      </c>
      <c r="B47" s="5" t="n">
        <v>21.5</v>
      </c>
      <c r="C47" s="5" t="n">
        <v>1.5</v>
      </c>
    </row>
    <row r="49">
      <c r="A49" s="10" t="inlineStr">
        <is>
          <t>Convenciones</t>
        </is>
      </c>
    </row>
    <row r="50">
      <c r="A50" s="3" t="inlineStr">
        <is>
          <t>FESTIVO</t>
        </is>
      </c>
      <c r="B50" s="11" t="inlineStr">
        <is>
          <t>Lunes 12 de octubre: Día de la Raza (festivo nacional Colombia 2026). No se programa turno.</t>
        </is>
      </c>
    </row>
    <row r="51">
      <c r="A51" s="12" t="inlineStr">
        <is>
          <t>VACACIONES</t>
        </is>
      </c>
      <c r="B51" s="11" t="inlineStr">
        <is>
          <t>Paula Bermúdez: vacaciones del 15 de octubre al 5 de noviembre de 2026.</t>
        </is>
      </c>
    </row>
    <row r="52">
      <c r="A52" s="10" t="inlineStr">
        <is>
          <t>Sábados</t>
        </is>
      </c>
      <c r="B52" s="11" t="inlineStr">
        <is>
          <t>Médicos: 3 Dr. Fabio · 10 Dr. Daniel · 17 Dr. Fabio y Dra. Mafe · 24 Dr. Daniel · 31 Dra. Mafe.</t>
        </is>
      </c>
    </row>
    <row r="53">
      <c r="A53" s="10" t="inlineStr"/>
      <c r="B53" s="11" t="inlineStr">
        <is>
          <t>Odontóloga Sandra: 17 y 24 · Paula: 10 · Alejandra: 10 y 24 · Kiria: 10 y 24 · Damaris y Nicolás: 3, 17 y 31 · Mileidy, Daniel Salas y jefe Marly: todos los sábados.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6" customWidth="1" min="2" max="2"/>
    <col width="13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Nombre</t>
        </is>
      </c>
      <c r="B1" s="1" t="inlineStr">
        <is>
          <t>Cargo</t>
        </is>
      </c>
      <c r="C1" s="1" t="inlineStr">
        <is>
          <t>Hora Almuerzo</t>
        </is>
      </c>
      <c r="D1" s="1" t="inlineStr">
        <is>
          <t xml:space="preserve"> Jue 01 </t>
        </is>
      </c>
      <c r="E1" s="1" t="inlineStr">
        <is>
          <t xml:space="preserve"> Vie 02 </t>
        </is>
      </c>
      <c r="F1" s="2" t="inlineStr">
        <is>
          <t xml:space="preserve"> Sáb 03 </t>
        </is>
      </c>
      <c r="G1" s="2" t="inlineStr">
        <is>
          <t xml:space="preserve"> Dom 04 </t>
        </is>
      </c>
      <c r="H1" s="1" t="inlineStr">
        <is>
          <t xml:space="preserve"> Lun 05 </t>
        </is>
      </c>
      <c r="I1" s="1" t="inlineStr">
        <is>
          <t xml:space="preserve"> Mar 06 </t>
        </is>
      </c>
      <c r="J1" s="1" t="inlineStr">
        <is>
          <t xml:space="preserve"> Mié 07 </t>
        </is>
      </c>
      <c r="K1" s="1" t="inlineStr">
        <is>
          <t xml:space="preserve"> Jue 08 </t>
        </is>
      </c>
      <c r="L1" s="1" t="inlineStr">
        <is>
          <t xml:space="preserve"> Vie 09 </t>
        </is>
      </c>
      <c r="M1" s="2" t="inlineStr">
        <is>
          <t xml:space="preserve"> Sáb 10 </t>
        </is>
      </c>
      <c r="N1" s="2" t="inlineStr">
        <is>
          <t xml:space="preserve"> Dom 11 </t>
        </is>
      </c>
      <c r="O1" s="3" t="inlineStr">
        <is>
          <t xml:space="preserve"> Lun 12 </t>
        </is>
      </c>
      <c r="P1" s="1" t="inlineStr">
        <is>
          <t xml:space="preserve"> Mar 13 </t>
        </is>
      </c>
      <c r="Q1" s="1" t="inlineStr">
        <is>
          <t xml:space="preserve"> Mié 14 </t>
        </is>
      </c>
      <c r="R1" s="1" t="inlineStr">
        <is>
          <t xml:space="preserve"> Jue 15 </t>
        </is>
      </c>
      <c r="S1" s="1" t="inlineStr">
        <is>
          <t xml:space="preserve"> Vie 16 </t>
        </is>
      </c>
      <c r="T1" s="2" t="inlineStr">
        <is>
          <t xml:space="preserve"> Sáb 17 </t>
        </is>
      </c>
      <c r="U1" s="2" t="inlineStr">
        <is>
          <t xml:space="preserve"> Dom 18 </t>
        </is>
      </c>
      <c r="V1" s="1" t="inlineStr">
        <is>
          <t xml:space="preserve"> Lun 19 </t>
        </is>
      </c>
      <c r="W1" s="1" t="inlineStr">
        <is>
          <t xml:space="preserve"> Mar 20 </t>
        </is>
      </c>
      <c r="X1" s="1" t="inlineStr">
        <is>
          <t xml:space="preserve"> Mié 21 </t>
        </is>
      </c>
      <c r="Y1" s="1" t="inlineStr">
        <is>
          <t xml:space="preserve"> Jue 22 </t>
        </is>
      </c>
      <c r="Z1" s="1" t="inlineStr">
        <is>
          <t xml:space="preserve"> Vie 23 </t>
        </is>
      </c>
      <c r="AA1" s="2" t="inlineStr">
        <is>
          <t xml:space="preserve"> Sáb 24 </t>
        </is>
      </c>
      <c r="AB1" s="2" t="inlineStr">
        <is>
          <t xml:space="preserve"> Dom 25 </t>
        </is>
      </c>
      <c r="AC1" s="1" t="inlineStr">
        <is>
          <t xml:space="preserve"> Lun 26 </t>
        </is>
      </c>
      <c r="AD1" s="1" t="inlineStr">
        <is>
          <t xml:space="preserve"> Mar 27 </t>
        </is>
      </c>
      <c r="AE1" s="1" t="inlineStr">
        <is>
          <t xml:space="preserve"> Mié 28 </t>
        </is>
      </c>
      <c r="AF1" s="1" t="inlineStr">
        <is>
          <t xml:space="preserve"> Jue 29 </t>
        </is>
      </c>
      <c r="AG1" s="1" t="inlineStr">
        <is>
          <t xml:space="preserve"> Vie 30 </t>
        </is>
      </c>
      <c r="AH1" s="2" t="inlineStr">
        <is>
          <t xml:space="preserve"> Sáb 31 </t>
        </is>
      </c>
      <c r="AI1" s="1" t="inlineStr">
        <is>
          <t>Total horas</t>
        </is>
      </c>
    </row>
    <row r="2">
      <c r="A2" s="4" t="inlineStr">
        <is>
          <t>Herlinda</t>
        </is>
      </c>
      <c r="B2" s="5" t="inlineStr">
        <is>
          <t>Auxiliar Serv G</t>
        </is>
      </c>
      <c r="C2" s="5" t="n"/>
      <c r="D2" s="5" t="inlineStr">
        <is>
          <t>11:00-19:00</t>
        </is>
      </c>
      <c r="E2" s="5" t="inlineStr">
        <is>
          <t>11:00-19:00</t>
        </is>
      </c>
      <c r="F2" s="6" t="n"/>
      <c r="G2" s="6" t="n"/>
      <c r="H2" s="5" t="inlineStr">
        <is>
          <t>6:00-14:00</t>
        </is>
      </c>
      <c r="I2" s="5" t="inlineStr">
        <is>
          <t>6:00-14:00</t>
        </is>
      </c>
      <c r="J2" s="5" t="inlineStr">
        <is>
          <t>6:00-14:00</t>
        </is>
      </c>
      <c r="K2" s="5" t="inlineStr">
        <is>
          <t>6:00-14:00</t>
        </is>
      </c>
      <c r="L2" s="5" t="inlineStr">
        <is>
          <t>6:00-14:00</t>
        </is>
      </c>
      <c r="M2" s="5" t="inlineStr">
        <is>
          <t>8:00-12:00</t>
        </is>
      </c>
      <c r="N2" s="6" t="n"/>
      <c r="O2" s="7" t="inlineStr">
        <is>
          <t>FESTIVO</t>
        </is>
      </c>
      <c r="P2" s="5" t="inlineStr">
        <is>
          <t>11:00-19:00</t>
        </is>
      </c>
      <c r="Q2" s="5" t="inlineStr">
        <is>
          <t>11:00-19:00</t>
        </is>
      </c>
      <c r="R2" s="5" t="inlineStr">
        <is>
          <t>11:00-19:00</t>
        </is>
      </c>
      <c r="S2" s="5" t="inlineStr">
        <is>
          <t>11:00-19:00</t>
        </is>
      </c>
      <c r="T2" s="6" t="n"/>
      <c r="U2" s="6" t="n"/>
      <c r="V2" s="5" t="inlineStr">
        <is>
          <t>6:00-14:00</t>
        </is>
      </c>
      <c r="W2" s="5" t="inlineStr">
        <is>
          <t>6:00-14:00</t>
        </is>
      </c>
      <c r="X2" s="5" t="inlineStr">
        <is>
          <t>6:00-14:00</t>
        </is>
      </c>
      <c r="Y2" s="5" t="inlineStr">
        <is>
          <t>6:00-14:00</t>
        </is>
      </c>
      <c r="Z2" s="5" t="inlineStr">
        <is>
          <t>6:00-14:00</t>
        </is>
      </c>
      <c r="AA2" s="5" t="inlineStr">
        <is>
          <t>8:00-12:00</t>
        </is>
      </c>
      <c r="AB2" s="6" t="n"/>
      <c r="AC2" s="5" t="inlineStr">
        <is>
          <t>11:00-19:00</t>
        </is>
      </c>
      <c r="AD2" s="5" t="inlineStr">
        <is>
          <t>11:00-19:00</t>
        </is>
      </c>
      <c r="AE2" s="5" t="inlineStr">
        <is>
          <t>11:00-19:00</t>
        </is>
      </c>
      <c r="AF2" s="5" t="inlineStr">
        <is>
          <t>11:00-19:00</t>
        </is>
      </c>
      <c r="AG2" s="5" t="inlineStr">
        <is>
          <t>11:00-19:00</t>
        </is>
      </c>
      <c r="AH2" s="6" t="n"/>
      <c r="AI2" s="5">
        <f>AN5</f>
        <v/>
      </c>
    </row>
    <row r="3">
      <c r="A3" s="4" t="inlineStr">
        <is>
          <t>Nataly</t>
        </is>
      </c>
      <c r="B3" s="5" t="inlineStr">
        <is>
          <t>Auxiliar Serv G</t>
        </is>
      </c>
      <c r="C3" s="5" t="inlineStr">
        <is>
          <t xml:space="preserve"> 12 a 1pm</t>
        </is>
      </c>
      <c r="D3" s="5" t="inlineStr">
        <is>
          <t>6:00-14:00</t>
        </is>
      </c>
      <c r="E3" s="5" t="inlineStr">
        <is>
          <t>6:00-14:00</t>
        </is>
      </c>
      <c r="F3" s="5" t="inlineStr">
        <is>
          <t>8:00-12:00</t>
        </is>
      </c>
      <c r="G3" s="6" t="n"/>
      <c r="H3" s="5" t="inlineStr">
        <is>
          <t>11:00-19:00</t>
        </is>
      </c>
      <c r="I3" s="5" t="inlineStr">
        <is>
          <t>11:00-19:00</t>
        </is>
      </c>
      <c r="J3" s="5" t="inlineStr">
        <is>
          <t>11:00-19:00</t>
        </is>
      </c>
      <c r="K3" s="5" t="inlineStr">
        <is>
          <t>11:00-19:00</t>
        </is>
      </c>
      <c r="L3" s="5" t="inlineStr">
        <is>
          <t>11:00-19:00</t>
        </is>
      </c>
      <c r="M3" s="6" t="n"/>
      <c r="N3" s="6" t="n"/>
      <c r="O3" s="7" t="inlineStr">
        <is>
          <t>FESTIVO</t>
        </is>
      </c>
      <c r="P3" s="5" t="inlineStr">
        <is>
          <t>6:00-14:00</t>
        </is>
      </c>
      <c r="Q3" s="5" t="inlineStr">
        <is>
          <t>6:00-14:00</t>
        </is>
      </c>
      <c r="R3" s="5" t="inlineStr">
        <is>
          <t>6:00-14:00</t>
        </is>
      </c>
      <c r="S3" s="5" t="inlineStr">
        <is>
          <t>6:00-14:00</t>
        </is>
      </c>
      <c r="T3" s="5" t="inlineStr">
        <is>
          <t>8:00-12:00</t>
        </is>
      </c>
      <c r="U3" s="6" t="n"/>
      <c r="V3" s="5" t="inlineStr">
        <is>
          <t>11:00-19:00</t>
        </is>
      </c>
      <c r="W3" s="5" t="inlineStr">
        <is>
          <t>11:00-19:00</t>
        </is>
      </c>
      <c r="X3" s="5" t="inlineStr">
        <is>
          <t>11:00-19:00</t>
        </is>
      </c>
      <c r="Y3" s="5" t="inlineStr">
        <is>
          <t>11:00-19:00</t>
        </is>
      </c>
      <c r="Z3" s="5" t="inlineStr">
        <is>
          <t>11:00-19:00</t>
        </is>
      </c>
      <c r="AA3" s="6" t="n"/>
      <c r="AB3" s="6" t="n"/>
      <c r="AC3" s="5" t="inlineStr">
        <is>
          <t>6:00-14:00</t>
        </is>
      </c>
      <c r="AD3" s="5" t="inlineStr">
        <is>
          <t>6:00-14:00</t>
        </is>
      </c>
      <c r="AE3" s="5" t="inlineStr">
        <is>
          <t>6:00-14:00</t>
        </is>
      </c>
      <c r="AF3" s="5" t="inlineStr">
        <is>
          <t>6:00-14:00</t>
        </is>
      </c>
      <c r="AG3" s="5" t="inlineStr">
        <is>
          <t>6:00-14:00</t>
        </is>
      </c>
      <c r="AH3" s="5" t="inlineStr">
        <is>
          <t>8:00-12:00</t>
        </is>
      </c>
      <c r="AI3" s="5">
        <f>AN6</f>
        <v/>
      </c>
    </row>
    <row r="4">
      <c r="I4" s="11" t="inlineStr">
        <is>
          <t xml:space="preserve"> almuerzo de 12 a 1pm</t>
        </is>
      </c>
      <c r="AI4" s="10" t="inlineStr">
        <is>
          <t>Semana 1</t>
        </is>
      </c>
      <c r="AJ4" s="10" t="inlineStr">
        <is>
          <t>Semana 2</t>
        </is>
      </c>
      <c r="AK4" s="10" t="inlineStr">
        <is>
          <t>Semana 3</t>
        </is>
      </c>
      <c r="AL4" s="10" t="inlineStr">
        <is>
          <t>Semana 4</t>
        </is>
      </c>
      <c r="AM4" s="10" t="inlineStr">
        <is>
          <t>Semana 5</t>
        </is>
      </c>
      <c r="AN4" s="10" t="inlineStr">
        <is>
          <t>TOTAL</t>
        </is>
      </c>
    </row>
    <row r="5">
      <c r="A5" s="10" t="inlineStr">
        <is>
          <t>Herlinda</t>
        </is>
      </c>
      <c r="D5">
        <f>IF(D2="",0,IFERROR((TIMEVALUE(MID(D2,FIND("-",D2)+1,10))-TIMEVALUE(LEFT(D2,FIND("-",D2)-1)))*24,0))</f>
        <v/>
      </c>
      <c r="E5">
        <f>IF(E2="",0,IFERROR((TIMEVALUE(MID(E2,FIND("-",E2)+1,10))-TIMEVALUE(LEFT(E2,FIND("-",E2)-1)))*24,0))</f>
        <v/>
      </c>
      <c r="F5">
        <f>IF(F2="",0,IFERROR((TIMEVALUE(MID(F2,FIND("-",F2)+1,10))-TIMEVALUE(LEFT(F2,FIND("-",F2)-1)))*24,0))</f>
        <v/>
      </c>
      <c r="G5">
        <f>IF(G2="",0,IFERROR((TIMEVALUE(MID(G2,FIND("-",G2)+1,10))-TIMEVALUE(LEFT(G2,FIND("-",G2)-1)))*24,0))</f>
        <v/>
      </c>
      <c r="H5">
        <f>IF(H2="",0,IFERROR((TIMEVALUE(MID(H2,FIND("-",H2)+1,10))-TIMEVALUE(LEFT(H2,FIND("-",H2)-1)))*24,0))</f>
        <v/>
      </c>
      <c r="I5">
        <f>IF(I2="",0,IFERROR((TIMEVALUE(MID(I2,FIND("-",I2)+1,10))-TIMEVALUE(LEFT(I2,FIND("-",I2)-1)))*24,0))</f>
        <v/>
      </c>
      <c r="J5">
        <f>IF(J2="",0,IFERROR((TIMEVALUE(MID(J2,FIND("-",J2)+1,10))-TIMEVALUE(LEFT(J2,FIND("-",J2)-1)))*24,0))</f>
        <v/>
      </c>
      <c r="K5">
        <f>IF(K2="",0,IFERROR((TIMEVALUE(MID(K2,FIND("-",K2)+1,10))-TIMEVALUE(LEFT(K2,FIND("-",K2)-1)))*24,0))</f>
        <v/>
      </c>
      <c r="L5">
        <f>IF(L2="",0,IFERROR((TIMEVALUE(MID(L2,FIND("-",L2)+1,10))-TIMEVALUE(LEFT(L2,FIND("-",L2)-1)))*24,0))</f>
        <v/>
      </c>
      <c r="M5">
        <f>IF(M2="",0,IFERROR((TIMEVALUE(MID(M2,FIND("-",M2)+1,10))-TIMEVALUE(LEFT(M2,FIND("-",M2)-1)))*24,0))</f>
        <v/>
      </c>
      <c r="N5">
        <f>IF(N2="",0,IFERROR((TIMEVALUE(MID(N2,FIND("-",N2)+1,10))-TIMEVALUE(LEFT(N2,FIND("-",N2)-1)))*24,0))</f>
        <v/>
      </c>
      <c r="O5">
        <f>IF(O2="",0,IFERROR((TIMEVALUE(MID(O2,FIND("-",O2)+1,10))-TIMEVALUE(LEFT(O2,FIND("-",O2)-1)))*24,0))</f>
        <v/>
      </c>
      <c r="P5">
        <f>IF(P2="",0,IFERROR((TIMEVALUE(MID(P2,FIND("-",P2)+1,10))-TIMEVALUE(LEFT(P2,FIND("-",P2)-1)))*24,0))</f>
        <v/>
      </c>
      <c r="Q5">
        <f>IF(Q2="",0,IFERROR((TIMEVALUE(MID(Q2,FIND("-",Q2)+1,10))-TIMEVALUE(LEFT(Q2,FIND("-",Q2)-1)))*24,0))</f>
        <v/>
      </c>
      <c r="R5">
        <f>IF(R2="",0,IFERROR((TIMEVALUE(MID(R2,FIND("-",R2)+1,10))-TIMEVALUE(LEFT(R2,FIND("-",R2)-1)))*24,0))</f>
        <v/>
      </c>
      <c r="S5">
        <f>IF(S2="",0,IFERROR((TIMEVALUE(MID(S2,FIND("-",S2)+1,10))-TIMEVALUE(LEFT(S2,FIND("-",S2)-1)))*24,0))</f>
        <v/>
      </c>
      <c r="T5">
        <f>IF(T2="",0,IFERROR((TIMEVALUE(MID(T2,FIND("-",T2)+1,10))-TIMEVALUE(LEFT(T2,FIND("-",T2)-1)))*24,0))</f>
        <v/>
      </c>
      <c r="U5">
        <f>IF(U2="",0,IFERROR((TIMEVALUE(MID(U2,FIND("-",U2)+1,10))-TIMEVALUE(LEFT(U2,FIND("-",U2)-1)))*24,0))</f>
        <v/>
      </c>
      <c r="V5">
        <f>IF(V2="",0,IFERROR((TIMEVALUE(MID(V2,FIND("-",V2)+1,10))-TIMEVALUE(LEFT(V2,FIND("-",V2)-1)))*24,0))</f>
        <v/>
      </c>
      <c r="W5">
        <f>IF(W2="",0,IFERROR((TIMEVALUE(MID(W2,FIND("-",W2)+1,10))-TIMEVALUE(LEFT(W2,FIND("-",W2)-1)))*24,0))</f>
        <v/>
      </c>
      <c r="X5">
        <f>IF(X2="",0,IFERROR((TIMEVALUE(MID(X2,FIND("-",X2)+1,10))-TIMEVALUE(LEFT(X2,FIND("-",X2)-1)))*24,0))</f>
        <v/>
      </c>
      <c r="Y5">
        <f>IF(Y2="",0,IFERROR((TIMEVALUE(MID(Y2,FIND("-",Y2)+1,10))-TIMEVALUE(LEFT(Y2,FIND("-",Y2)-1)))*24,0))</f>
        <v/>
      </c>
      <c r="Z5">
        <f>IF(Z2="",0,IFERROR((TIMEVALUE(MID(Z2,FIND("-",Z2)+1,10))-TIMEVALUE(LEFT(Z2,FIND("-",Z2)-1)))*24,0))</f>
        <v/>
      </c>
      <c r="AA5">
        <f>IF(AA2="",0,IFERROR((TIMEVALUE(MID(AA2,FIND("-",AA2)+1,10))-TIMEVALUE(LEFT(AA2,FIND("-",AA2)-1)))*24,0))</f>
        <v/>
      </c>
      <c r="AB5">
        <f>IF(AB2="",0,IFERROR((TIMEVALUE(MID(AB2,FIND("-",AB2)+1,10))-TIMEVALUE(LEFT(AB2,FIND("-",AB2)-1)))*24,0))</f>
        <v/>
      </c>
      <c r="AC5">
        <f>IF(AC2="",0,IFERROR((TIMEVALUE(MID(AC2,FIND("-",AC2)+1,10))-TIMEVALUE(LEFT(AC2,FIND("-",AC2)-1)))*24,0))</f>
        <v/>
      </c>
      <c r="AD5">
        <f>IF(AD2="",0,IFERROR((TIMEVALUE(MID(AD2,FIND("-",AD2)+1,10))-TIMEVALUE(LEFT(AD2,FIND("-",AD2)-1)))*24,0))</f>
        <v/>
      </c>
      <c r="AE5">
        <f>IF(AE2="",0,IFERROR((TIMEVALUE(MID(AE2,FIND("-",AE2)+1,10))-TIMEVALUE(LEFT(AE2,FIND("-",AE2)-1)))*24,0))</f>
        <v/>
      </c>
      <c r="AF5">
        <f>IF(AF2="",0,IFERROR((TIMEVALUE(MID(AF2,FIND("-",AF2)+1,10))-TIMEVALUE(LEFT(AF2,FIND("-",AF2)-1)))*24,0))</f>
        <v/>
      </c>
      <c r="AG5">
        <f>IF(AG2="",0,IFERROR((TIMEVALUE(MID(AG2,FIND("-",AG2)+1,10))-TIMEVALUE(LEFT(AG2,FIND("-",AG2)-1)))*24,0))</f>
        <v/>
      </c>
      <c r="AH5">
        <f>IF(AH2="",0,IFERROR((TIMEVALUE(MID(AH2,FIND("-",AH2)+1,10))-TIMEVALUE(LEFT(AH2,FIND("-",AH2)-1)))*24,0))</f>
        <v/>
      </c>
      <c r="AI5">
        <f>SUM(D5:F5)</f>
        <v/>
      </c>
      <c r="AJ5">
        <f>SUM(H5:M5)</f>
        <v/>
      </c>
      <c r="AK5">
        <f>SUM(O5:T5)</f>
        <v/>
      </c>
      <c r="AL5">
        <f>SUM(V5:AA5)</f>
        <v/>
      </c>
      <c r="AM5">
        <f>SUM(AC5:AH5)</f>
        <v/>
      </c>
      <c r="AN5">
        <f>SUM(AI5:AM5)</f>
        <v/>
      </c>
    </row>
    <row r="6">
      <c r="A6" s="10" t="inlineStr">
        <is>
          <t>Nataly</t>
        </is>
      </c>
      <c r="D6">
        <f>IF(D3="",0,IFERROR((TIMEVALUE(MID(D3,FIND("-",D3)+1,10))-TIMEVALUE(LEFT(D3,FIND("-",D3)-1)))*24-1,0))</f>
        <v/>
      </c>
      <c r="E6">
        <f>IF(E3="",0,IFERROR((TIMEVALUE(MID(E3,FIND("-",E3)+1,10))-TIMEVALUE(LEFT(E3,FIND("-",E3)-1)))*24-1,0))</f>
        <v/>
      </c>
      <c r="F6">
        <f>IF(F3="",0,IFERROR((TIMEVALUE(MID(F3,FIND("-",F3)+1,10))-TIMEVALUE(LEFT(F3,FIND("-",F3)-1)))*24,0))</f>
        <v/>
      </c>
      <c r="G6">
        <f>IF(G3="",0,IFERROR((TIMEVALUE(MID(G3,FIND("-",G3)+1,10))-TIMEVALUE(LEFT(G3,FIND("-",G3)-1)))*24-1,0))</f>
        <v/>
      </c>
      <c r="H6">
        <f>IF(H3="",0,IFERROR((TIMEVALUE(MID(H3,FIND("-",H3)+1,10))-TIMEVALUE(LEFT(H3,FIND("-",H3)-1)))*24-1,0))</f>
        <v/>
      </c>
      <c r="I6">
        <f>IF(I3="",0,IFERROR((TIMEVALUE(MID(I3,FIND("-",I3)+1,10))-TIMEVALUE(LEFT(I3,FIND("-",I3)-1)))*24-1,0))</f>
        <v/>
      </c>
      <c r="J6">
        <f>IF(J3="",0,IFERROR((TIMEVALUE(MID(J3,FIND("-",J3)+1,10))-TIMEVALUE(LEFT(J3,FIND("-",J3)-1)))*24-1,0))</f>
        <v/>
      </c>
      <c r="K6">
        <f>IF(K3="",0,IFERROR((TIMEVALUE(MID(K3,FIND("-",K3)+1,10))-TIMEVALUE(LEFT(K3,FIND("-",K3)-1)))*24-1,0))</f>
        <v/>
      </c>
      <c r="L6">
        <f>IF(L3="",0,IFERROR((TIMEVALUE(MID(L3,FIND("-",L3)+1,10))-TIMEVALUE(LEFT(L3,FIND("-",L3)-1)))*24-1,0))</f>
        <v/>
      </c>
      <c r="M6">
        <f>IF(M3="",0,IFERROR((TIMEVALUE(MID(M3,FIND("-",M3)+1,10))-TIMEVALUE(LEFT(M3,FIND("-",M3)-1)))*24,0))</f>
        <v/>
      </c>
      <c r="N6">
        <f>IF(N3="",0,IFERROR((TIMEVALUE(MID(N3,FIND("-",N3)+1,10))-TIMEVALUE(LEFT(N3,FIND("-",N3)-1)))*24-1,0))</f>
        <v/>
      </c>
      <c r="O6">
        <f>IF(O3="",0,IFERROR((TIMEVALUE(MID(O3,FIND("-",O3)+1,10))-TIMEVALUE(LEFT(O3,FIND("-",O3)-1)))*24-1,0))</f>
        <v/>
      </c>
      <c r="P6">
        <f>IF(P3="",0,IFERROR((TIMEVALUE(MID(P3,FIND("-",P3)+1,10))-TIMEVALUE(LEFT(P3,FIND("-",P3)-1)))*24-1,0))</f>
        <v/>
      </c>
      <c r="Q6">
        <f>IF(Q3="",0,IFERROR((TIMEVALUE(MID(Q3,FIND("-",Q3)+1,10))-TIMEVALUE(LEFT(Q3,FIND("-",Q3)-1)))*24-1,0))</f>
        <v/>
      </c>
      <c r="R6">
        <f>IF(R3="",0,IFERROR((TIMEVALUE(MID(R3,FIND("-",R3)+1,10))-TIMEVALUE(LEFT(R3,FIND("-",R3)-1)))*24-1,0))</f>
        <v/>
      </c>
      <c r="S6">
        <f>IF(S3="",0,IFERROR((TIMEVALUE(MID(S3,FIND("-",S3)+1,10))-TIMEVALUE(LEFT(S3,FIND("-",S3)-1)))*24-1,0))</f>
        <v/>
      </c>
      <c r="T6">
        <f>IF(T3="",0,IFERROR((TIMEVALUE(MID(T3,FIND("-",T3)+1,10))-TIMEVALUE(LEFT(T3,FIND("-",T3)-1)))*24,0))</f>
        <v/>
      </c>
      <c r="U6">
        <f>IF(U3="",0,IFERROR((TIMEVALUE(MID(U3,FIND("-",U3)+1,10))-TIMEVALUE(LEFT(U3,FIND("-",U3)-1)))*24-1,0))</f>
        <v/>
      </c>
      <c r="V6">
        <f>IF(V3="",0,IFERROR((TIMEVALUE(MID(V3,FIND("-",V3)+1,10))-TIMEVALUE(LEFT(V3,FIND("-",V3)-1)))*24-1,0))</f>
        <v/>
      </c>
      <c r="W6">
        <f>IF(W3="",0,IFERROR((TIMEVALUE(MID(W3,FIND("-",W3)+1,10))-TIMEVALUE(LEFT(W3,FIND("-",W3)-1)))*24-1,0))</f>
        <v/>
      </c>
      <c r="X6">
        <f>IF(X3="",0,IFERROR((TIMEVALUE(MID(X3,FIND("-",X3)+1,10))-TIMEVALUE(LEFT(X3,FIND("-",X3)-1)))*24-1,0))</f>
        <v/>
      </c>
      <c r="Y6">
        <f>IF(Y3="",0,IFERROR((TIMEVALUE(MID(Y3,FIND("-",Y3)+1,10))-TIMEVALUE(LEFT(Y3,FIND("-",Y3)-1)))*24-1,0))</f>
        <v/>
      </c>
      <c r="Z6">
        <f>IF(Z3="",0,IFERROR((TIMEVALUE(MID(Z3,FIND("-",Z3)+1,10))-TIMEVALUE(LEFT(Z3,FIND("-",Z3)-1)))*24-1,0))</f>
        <v/>
      </c>
      <c r="AA6">
        <f>IF(AA3="",0,IFERROR((TIMEVALUE(MID(AA3,FIND("-",AA3)+1,10))-TIMEVALUE(LEFT(AA3,FIND("-",AA3)-1)))*24,0))</f>
        <v/>
      </c>
      <c r="AB6">
        <f>IF(AB3="",0,IFERROR((TIMEVALUE(MID(AB3,FIND("-",AB3)+1,10))-TIMEVALUE(LEFT(AB3,FIND("-",AB3)-1)))*24-1,0))</f>
        <v/>
      </c>
      <c r="AC6">
        <f>IF(AC3="",0,IFERROR((TIMEVALUE(MID(AC3,FIND("-",AC3)+1,10))-TIMEVALUE(LEFT(AC3,FIND("-",AC3)-1)))*24-1,0))</f>
        <v/>
      </c>
      <c r="AD6">
        <f>IF(AD3="",0,IFERROR((TIMEVALUE(MID(AD3,FIND("-",AD3)+1,10))-TIMEVALUE(LEFT(AD3,FIND("-",AD3)-1)))*24-1,0))</f>
        <v/>
      </c>
      <c r="AE6">
        <f>IF(AE3="",0,IFERROR((TIMEVALUE(MID(AE3,FIND("-",AE3)+1,10))-TIMEVALUE(LEFT(AE3,FIND("-",AE3)-1)))*24-1,0))</f>
        <v/>
      </c>
      <c r="AF6">
        <f>IF(AF3="",0,IFERROR((TIMEVALUE(MID(AF3,FIND("-",AF3)+1,10))-TIMEVALUE(LEFT(AF3,FIND("-",AF3)-1)))*24-1,0))</f>
        <v/>
      </c>
      <c r="AG6">
        <f>IF(AG3="",0,IFERROR((TIMEVALUE(MID(AG3,FIND("-",AG3)+1,10))-TIMEVALUE(LEFT(AG3,FIND("-",AG3)-1)))*24-1,0))</f>
        <v/>
      </c>
      <c r="AH6">
        <f>IF(AH3="",0,IFERROR((TIMEVALUE(MID(AH3,FIND("-",AH3)+1,10))-TIMEVALUE(LEFT(AH3,FIND("-",AH3)-1)))*24,0))</f>
        <v/>
      </c>
      <c r="AI6">
        <f>SUM(D6:F6)</f>
        <v/>
      </c>
      <c r="AJ6">
        <f>SUM(H6:M6)</f>
        <v/>
      </c>
      <c r="AK6">
        <f>SUM(O6:T6)</f>
        <v/>
      </c>
      <c r="AL6">
        <f>SUM(V6:AA6)</f>
        <v/>
      </c>
      <c r="AM6">
        <f>SUM(AC6:AH6)</f>
        <v/>
      </c>
      <c r="AN6">
        <f>SUM(AI6:AM6)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0" customWidth="1" min="2" max="2"/>
    <col width="13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Nombre</t>
        </is>
      </c>
      <c r="B1" s="1" t="inlineStr">
        <is>
          <t>Cargo</t>
        </is>
      </c>
      <c r="C1" s="1" t="inlineStr">
        <is>
          <t>Hora Almuerzo</t>
        </is>
      </c>
      <c r="D1" s="1" t="inlineStr">
        <is>
          <t xml:space="preserve"> Jue 01 </t>
        </is>
      </c>
      <c r="E1" s="1" t="inlineStr">
        <is>
          <t xml:space="preserve"> Vie 02 </t>
        </is>
      </c>
      <c r="F1" s="2" t="inlineStr">
        <is>
          <t xml:space="preserve"> Sáb 03 </t>
        </is>
      </c>
      <c r="G1" s="2" t="inlineStr">
        <is>
          <t xml:space="preserve"> Dom 04 </t>
        </is>
      </c>
      <c r="H1" s="1" t="inlineStr">
        <is>
          <t xml:space="preserve"> Lun 05 </t>
        </is>
      </c>
      <c r="I1" s="1" t="inlineStr">
        <is>
          <t xml:space="preserve"> Mar 06 </t>
        </is>
      </c>
      <c r="J1" s="1" t="inlineStr">
        <is>
          <t xml:space="preserve"> Mié 07 </t>
        </is>
      </c>
      <c r="K1" s="1" t="inlineStr">
        <is>
          <t xml:space="preserve"> Jue 08 </t>
        </is>
      </c>
      <c r="L1" s="1" t="inlineStr">
        <is>
          <t xml:space="preserve"> Vie 09 </t>
        </is>
      </c>
      <c r="M1" s="2" t="inlineStr">
        <is>
          <t xml:space="preserve"> Sáb 10 </t>
        </is>
      </c>
      <c r="N1" s="2" t="inlineStr">
        <is>
          <t xml:space="preserve"> Dom 11 </t>
        </is>
      </c>
      <c r="O1" s="3" t="inlineStr">
        <is>
          <t xml:space="preserve"> Lun 12 </t>
        </is>
      </c>
      <c r="P1" s="1" t="inlineStr">
        <is>
          <t xml:space="preserve"> Mar 13 </t>
        </is>
      </c>
      <c r="Q1" s="1" t="inlineStr">
        <is>
          <t xml:space="preserve"> Mié 14 </t>
        </is>
      </c>
      <c r="R1" s="1" t="inlineStr">
        <is>
          <t xml:space="preserve"> Jue 15 </t>
        </is>
      </c>
      <c r="S1" s="1" t="inlineStr">
        <is>
          <t xml:space="preserve"> Vie 16 </t>
        </is>
      </c>
      <c r="T1" s="2" t="inlineStr">
        <is>
          <t xml:space="preserve"> Sáb 17 </t>
        </is>
      </c>
      <c r="U1" s="2" t="inlineStr">
        <is>
          <t xml:space="preserve"> Dom 18 </t>
        </is>
      </c>
      <c r="V1" s="1" t="inlineStr">
        <is>
          <t xml:space="preserve"> Lun 19 </t>
        </is>
      </c>
      <c r="W1" s="1" t="inlineStr">
        <is>
          <t xml:space="preserve"> Mar 20 </t>
        </is>
      </c>
      <c r="X1" s="1" t="inlineStr">
        <is>
          <t xml:space="preserve"> Mié 21 </t>
        </is>
      </c>
      <c r="Y1" s="1" t="inlineStr">
        <is>
          <t xml:space="preserve"> Jue 22 </t>
        </is>
      </c>
      <c r="Z1" s="1" t="inlineStr">
        <is>
          <t xml:space="preserve"> Vie 23 </t>
        </is>
      </c>
      <c r="AA1" s="2" t="inlineStr">
        <is>
          <t xml:space="preserve"> Sáb 24 </t>
        </is>
      </c>
      <c r="AB1" s="2" t="inlineStr">
        <is>
          <t xml:space="preserve"> Dom 25 </t>
        </is>
      </c>
      <c r="AC1" s="1" t="inlineStr">
        <is>
          <t xml:space="preserve"> Lun 26 </t>
        </is>
      </c>
      <c r="AD1" s="1" t="inlineStr">
        <is>
          <t xml:space="preserve"> Mar 27 </t>
        </is>
      </c>
      <c r="AE1" s="1" t="inlineStr">
        <is>
          <t xml:space="preserve"> Mié 28 </t>
        </is>
      </c>
      <c r="AF1" s="1" t="inlineStr">
        <is>
          <t xml:space="preserve"> Jue 29 </t>
        </is>
      </c>
      <c r="AG1" s="1" t="inlineStr">
        <is>
          <t xml:space="preserve"> Vie 30 </t>
        </is>
      </c>
      <c r="AH1" s="2" t="inlineStr">
        <is>
          <t xml:space="preserve"> Sáb 31 </t>
        </is>
      </c>
    </row>
    <row r="2">
      <c r="A2" s="4" t="inlineStr">
        <is>
          <t>Mauricio Zambrano</t>
        </is>
      </c>
      <c r="B2" s="5" t="inlineStr">
        <is>
          <t>Infectologo</t>
        </is>
      </c>
      <c r="C2" s="5" t="inlineStr">
        <is>
          <t>N/A</t>
        </is>
      </c>
      <c r="D2" s="5" t="inlineStr">
        <is>
          <t>8:00-17:00</t>
        </is>
      </c>
      <c r="E2" s="5" t="inlineStr">
        <is>
          <t>13:00-18:00</t>
        </is>
      </c>
      <c r="F2" s="6" t="n"/>
      <c r="G2" s="6" t="n"/>
      <c r="H2" s="5" t="inlineStr">
        <is>
          <t>13:00-18:00</t>
        </is>
      </c>
      <c r="I2" s="5" t="n"/>
      <c r="J2" s="5" t="n"/>
      <c r="K2" s="5" t="inlineStr">
        <is>
          <t>8:00-17:00</t>
        </is>
      </c>
      <c r="L2" s="5" t="inlineStr">
        <is>
          <t>13:00-18:00</t>
        </is>
      </c>
      <c r="M2" s="6" t="n"/>
      <c r="N2" s="6" t="n"/>
      <c r="O2" s="7" t="inlineStr">
        <is>
          <t>FESTIVO</t>
        </is>
      </c>
      <c r="P2" s="5" t="n"/>
      <c r="Q2" s="5" t="n"/>
      <c r="R2" s="5" t="inlineStr">
        <is>
          <t>8:00-17:00</t>
        </is>
      </c>
      <c r="S2" s="5" t="inlineStr">
        <is>
          <t>13:00-18:00</t>
        </is>
      </c>
      <c r="T2" s="6" t="n"/>
      <c r="U2" s="6" t="n"/>
      <c r="V2" s="5" t="inlineStr">
        <is>
          <t>13:00-18:00</t>
        </is>
      </c>
      <c r="W2" s="5" t="n"/>
      <c r="X2" s="5" t="n"/>
      <c r="Y2" s="5" t="inlineStr">
        <is>
          <t>8:00-17:00</t>
        </is>
      </c>
      <c r="Z2" s="5" t="inlineStr">
        <is>
          <t>13:00-18:00</t>
        </is>
      </c>
      <c r="AA2" s="6" t="n"/>
      <c r="AB2" s="6" t="n"/>
      <c r="AC2" s="5" t="inlineStr">
        <is>
          <t>13:00-18:00</t>
        </is>
      </c>
      <c r="AD2" s="5" t="n"/>
      <c r="AE2" s="5" t="n"/>
      <c r="AF2" s="5" t="inlineStr">
        <is>
          <t>8:00-17:00</t>
        </is>
      </c>
      <c r="AG2" s="5" t="inlineStr">
        <is>
          <t>13:00-18:00</t>
        </is>
      </c>
      <c r="AH2" s="6" t="n"/>
    </row>
    <row r="3">
      <c r="A3" s="4" t="inlineStr">
        <is>
          <t>Omar</t>
        </is>
      </c>
      <c r="B3" s="5" t="inlineStr">
        <is>
          <t>Quimico Farmaceutico</t>
        </is>
      </c>
      <c r="C3" s="5" t="inlineStr">
        <is>
          <t>N/A</t>
        </is>
      </c>
      <c r="D3" s="5" t="inlineStr">
        <is>
          <t>12:00-14:00</t>
        </is>
      </c>
      <c r="E3" s="5" t="inlineStr">
        <is>
          <t>12:00-14:00</t>
        </is>
      </c>
      <c r="F3" s="6" t="n"/>
      <c r="G3" s="6" t="n"/>
      <c r="H3" s="5" t="inlineStr">
        <is>
          <t>12:00-14:00</t>
        </is>
      </c>
      <c r="I3" s="5" t="inlineStr">
        <is>
          <t>12:00-14:00</t>
        </is>
      </c>
      <c r="J3" s="5" t="inlineStr">
        <is>
          <t>12:00-14:00</t>
        </is>
      </c>
      <c r="K3" s="5" t="inlineStr">
        <is>
          <t>12:00-14:00</t>
        </is>
      </c>
      <c r="L3" s="5" t="inlineStr">
        <is>
          <t>12:00-14:00</t>
        </is>
      </c>
      <c r="M3" s="6" t="n"/>
      <c r="N3" s="6" t="n"/>
      <c r="O3" s="7" t="inlineStr">
        <is>
          <t>FESTIVO</t>
        </is>
      </c>
      <c r="P3" s="5" t="inlineStr">
        <is>
          <t>12:00-14:00</t>
        </is>
      </c>
      <c r="Q3" s="5" t="inlineStr">
        <is>
          <t>12:00-14:00</t>
        </is>
      </c>
      <c r="R3" s="5" t="inlineStr">
        <is>
          <t>12:00-14:00</t>
        </is>
      </c>
      <c r="S3" s="5" t="inlineStr">
        <is>
          <t>12:00-14:00</t>
        </is>
      </c>
      <c r="T3" s="6" t="n"/>
      <c r="U3" s="6" t="n"/>
      <c r="V3" s="5" t="inlineStr">
        <is>
          <t>12:00-14:00</t>
        </is>
      </c>
      <c r="W3" s="5" t="inlineStr">
        <is>
          <t>12:00-14:00</t>
        </is>
      </c>
      <c r="X3" s="5" t="inlineStr">
        <is>
          <t>12:00-14:00</t>
        </is>
      </c>
      <c r="Y3" s="5" t="inlineStr">
        <is>
          <t>12:00-14:00</t>
        </is>
      </c>
      <c r="Z3" s="5" t="inlineStr">
        <is>
          <t>12:00-14:00</t>
        </is>
      </c>
      <c r="AA3" s="6" t="n"/>
      <c r="AB3" s="6" t="n"/>
      <c r="AC3" s="5" t="inlineStr">
        <is>
          <t>12:00-14:00</t>
        </is>
      </c>
      <c r="AD3" s="5" t="inlineStr">
        <is>
          <t>12:00-14:00</t>
        </is>
      </c>
      <c r="AE3" s="5" t="inlineStr">
        <is>
          <t>12:00-14:00</t>
        </is>
      </c>
      <c r="AF3" s="5" t="inlineStr">
        <is>
          <t>12:00-14:00</t>
        </is>
      </c>
      <c r="AG3" s="5" t="inlineStr">
        <is>
          <t>12:00-14:00</t>
        </is>
      </c>
      <c r="AH3" s="6" t="n"/>
    </row>
    <row r="4">
      <c r="A4" s="4" t="n"/>
      <c r="B4" s="5" t="inlineStr">
        <is>
          <t>Nutricionista</t>
        </is>
      </c>
      <c r="C4" s="5" t="inlineStr">
        <is>
          <t>N/A</t>
        </is>
      </c>
      <c r="D4" s="5" t="n"/>
      <c r="E4" s="5" t="n"/>
      <c r="F4" s="6" t="n"/>
      <c r="G4" s="6" t="n"/>
      <c r="H4" s="5" t="n"/>
      <c r="I4" s="5" t="n"/>
      <c r="J4" s="5" t="n"/>
      <c r="K4" s="5" t="n"/>
      <c r="L4" s="5" t="n"/>
      <c r="M4" s="6" t="n"/>
      <c r="N4" s="6" t="n"/>
      <c r="O4" s="7" t="n"/>
      <c r="P4" s="5" t="n"/>
      <c r="Q4" s="5" t="n"/>
      <c r="R4" s="5" t="n"/>
      <c r="S4" s="5" t="n"/>
      <c r="T4" s="6" t="n"/>
      <c r="U4" s="6" t="n"/>
      <c r="V4" s="5" t="n"/>
      <c r="W4" s="5" t="n"/>
      <c r="X4" s="5" t="n"/>
      <c r="Y4" s="5" t="n"/>
      <c r="Z4" s="5" t="n"/>
      <c r="AA4" s="6" t="n"/>
      <c r="AB4" s="6" t="n"/>
      <c r="AC4" s="5" t="n"/>
      <c r="AD4" s="5" t="n"/>
      <c r="AE4" s="5" t="n"/>
      <c r="AF4" s="5" t="n"/>
      <c r="AG4" s="5" t="n"/>
      <c r="AH4" s="6" t="n"/>
    </row>
    <row r="5">
      <c r="A5" s="4" t="n"/>
      <c r="B5" s="5" t="inlineStr">
        <is>
          <t>Oftalmologo</t>
        </is>
      </c>
      <c r="C5" s="5" t="inlineStr">
        <is>
          <t>N/A</t>
        </is>
      </c>
      <c r="D5" s="5" t="n"/>
      <c r="E5" s="5" t="n"/>
      <c r="F5" s="6" t="n"/>
      <c r="G5" s="6" t="n"/>
      <c r="H5" s="5" t="n"/>
      <c r="I5" s="5" t="n"/>
      <c r="J5" s="5" t="n"/>
      <c r="K5" s="5" t="n"/>
      <c r="L5" s="5" t="n"/>
      <c r="M5" s="6" t="n"/>
      <c r="N5" s="6" t="n"/>
      <c r="O5" s="7" t="n"/>
      <c r="P5" s="5" t="n"/>
      <c r="Q5" s="5" t="n"/>
      <c r="R5" s="5" t="n"/>
      <c r="S5" s="5" t="n"/>
      <c r="T5" s="6" t="n"/>
      <c r="U5" s="6" t="n"/>
      <c r="V5" s="5" t="n"/>
      <c r="W5" s="5" t="n"/>
      <c r="X5" s="5" t="n"/>
      <c r="Y5" s="5" t="n"/>
      <c r="Z5" s="5" t="n"/>
      <c r="AA5" s="6" t="n"/>
      <c r="AB5" s="6" t="n"/>
      <c r="AC5" s="5" t="n"/>
      <c r="AD5" s="5" t="n"/>
      <c r="AE5" s="5" t="n"/>
      <c r="AF5" s="5" t="n"/>
      <c r="AG5" s="5" t="n"/>
      <c r="AH5" s="6" t="n"/>
    </row>
    <row r="6">
      <c r="A6" s="4" t="inlineStr">
        <is>
          <t>Otto Santelis</t>
        </is>
      </c>
      <c r="B6" s="5" t="inlineStr">
        <is>
          <t>Psiquiatra</t>
        </is>
      </c>
      <c r="C6" s="5" t="inlineStr">
        <is>
          <t>N/A</t>
        </is>
      </c>
      <c r="D6" s="5" t="n"/>
      <c r="E6" s="5" t="inlineStr">
        <is>
          <t>14:00-17:00</t>
        </is>
      </c>
      <c r="F6" s="6" t="n"/>
      <c r="G6" s="6" t="n"/>
      <c r="H6" s="5" t="inlineStr">
        <is>
          <t>14:00-17:00</t>
        </is>
      </c>
      <c r="I6" s="5" t="n"/>
      <c r="J6" s="5" t="n"/>
      <c r="K6" s="5" t="n"/>
      <c r="L6" s="5" t="inlineStr">
        <is>
          <t>14:00-17:00</t>
        </is>
      </c>
      <c r="M6" s="6" t="n"/>
      <c r="N6" s="6" t="n"/>
      <c r="O6" s="7" t="inlineStr">
        <is>
          <t>FESTIVO</t>
        </is>
      </c>
      <c r="P6" s="5" t="n"/>
      <c r="Q6" s="5" t="n"/>
      <c r="R6" s="5" t="n"/>
      <c r="S6" s="5" t="inlineStr">
        <is>
          <t>14:00-17:00</t>
        </is>
      </c>
      <c r="T6" s="6" t="n"/>
      <c r="U6" s="6" t="n"/>
      <c r="V6" s="5" t="inlineStr">
        <is>
          <t>14:00-17:00</t>
        </is>
      </c>
      <c r="W6" s="5" t="n"/>
      <c r="X6" s="5" t="n"/>
      <c r="Y6" s="5" t="n"/>
      <c r="Z6" s="5" t="inlineStr">
        <is>
          <t>14:00-17:00</t>
        </is>
      </c>
      <c r="AA6" s="6" t="n"/>
      <c r="AB6" s="6" t="n"/>
      <c r="AC6" s="5" t="inlineStr">
        <is>
          <t>14:00-17:00</t>
        </is>
      </c>
      <c r="AD6" s="5" t="n"/>
      <c r="AE6" s="5" t="n"/>
      <c r="AF6" s="5" t="n"/>
      <c r="AG6" s="5" t="inlineStr">
        <is>
          <t>14:00-17:00</t>
        </is>
      </c>
      <c r="AH6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2026-09-24T20:00:47Z</dcterms:created>
  <dcterms:modified xsi:type="dcterms:W3CDTF">2026-09-24T20:00:47Z</dcterms:modified>
</cp:coreProperties>
</file>